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營收營利表" sheetId="2" state="visible" r:id="rId2"/>
    <sheet xmlns:r="http://schemas.openxmlformats.org/officeDocument/2006/relationships" name="一次性項目" sheetId="3" state="visible" r:id="rId3"/>
    <sheet xmlns:r="http://schemas.openxmlformats.org/officeDocument/2006/relationships" name="軌跡排隊" sheetId="4" state="visible" r:id="rId4"/>
    <sheet xmlns:r="http://schemas.openxmlformats.org/officeDocument/2006/relationships" name="分級彙總" sheetId="5" state="visible" r:id="rId5"/>
    <sheet xmlns:r="http://schemas.openxmlformats.org/officeDocument/2006/relationships" name="圖表連結" sheetId="6" state="visible" r:id="rId6"/>
  </sheets>
  <definedNames>
    <definedName name="_xlnm._FilterDatabase" localSheetId="1" hidden="1">'營收營利表'!$A$1:$AA$275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&quot;%&quot;"/>
    <numFmt numFmtId="166" formatCode="0.0%"/>
  </numFmts>
  <fonts count="7">
    <font>
      <name val="Calibri"/>
      <family val="2"/>
      <color theme="1"/>
      <sz val="11"/>
      <scheme val="minor"/>
    </font>
    <font>
      <b val="1"/>
      <sz val="12"/>
    </font>
    <font>
      <sz val="9.5"/>
    </font>
    <font>
      <b val="1"/>
      <sz val="10"/>
    </font>
    <font>
      <b val="1"/>
      <color rgb="FFFFFFFF"/>
      <sz val="9.5"/>
    </font>
    <font>
      <b val="1"/>
      <color rgb="FF1F4E78"/>
      <sz val="9.5"/>
      <u val="single"/>
    </font>
    <font>
      <b val="1"/>
      <sz val="9.5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FF3E3"/>
      </patternFill>
    </fill>
    <fill>
      <patternFill patternType="solid">
        <fgColor rgb="FFEAF2FB"/>
      </patternFill>
    </fill>
    <fill>
      <patternFill patternType="solid">
        <fgColor rgb="FFFDF3DC"/>
      </patternFill>
    </fill>
    <fill>
      <patternFill patternType="solid">
        <fgColor rgb="FFFBE4E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6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pivotButton="0" quotePrefix="0" xfId="0"/>
    <xf numFmtId="166" fontId="2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googl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asdaq:avgo" TargetMode="External" Id="rId6"/><Relationship Type="http://schemas.openxmlformats.org/officeDocument/2006/relationships/hyperlink" Target="https://www.tradingview.com/chart/?symbol=nasdaq:meta" TargetMode="External" Id="rId7"/><Relationship Type="http://schemas.openxmlformats.org/officeDocument/2006/relationships/hyperlink" Target="https://www.tradingview.com/chart/?symbol=nasdaq:tsla" TargetMode="External" Id="rId8"/><Relationship Type="http://schemas.openxmlformats.org/officeDocument/2006/relationships/hyperlink" Target="https://www.tradingview.com/chart/?symbol=nasdaq:mu" TargetMode="External" Id="rId9"/><Relationship Type="http://schemas.openxmlformats.org/officeDocument/2006/relationships/hyperlink" Target="https://www.tradingview.com/chart/?symbol=nyse:lly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asdaq:amd" TargetMode="External" Id="rId12"/><Relationship Type="http://schemas.openxmlformats.org/officeDocument/2006/relationships/hyperlink" Target="https://www.tradingview.com/chart/?symbol=nyse:v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asml" TargetMode="External" Id="rId15"/><Relationship Type="http://schemas.openxmlformats.org/officeDocument/2006/relationships/hyperlink" Target="https://www.tradingview.com/chart/?symbol=nyse:xom" TargetMode="External" Id="rId16"/><Relationship Type="http://schemas.openxmlformats.org/officeDocument/2006/relationships/hyperlink" Target="https://www.tradingview.com/chart/?symbol=nyse:ma" TargetMode="External" Id="rId17"/><Relationship Type="http://schemas.openxmlformats.org/officeDocument/2006/relationships/hyperlink" Target="https://www.tradingview.com/chart/?symbol=nyse:orcl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pltr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cost" TargetMode="External" Id="rId23"/><Relationship Type="http://schemas.openxmlformats.org/officeDocument/2006/relationships/hyperlink" Target="https://www.tradingview.com/chart/?symbol=nasdaq:lrcx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cat" TargetMode="External" Id="rId26"/><Relationship Type="http://schemas.openxmlformats.org/officeDocument/2006/relationships/hyperlink" Target="https://www.tradingview.com/chart/?symbol=nyse:hsbc" TargetMode="External" Id="rId27"/><Relationship Type="http://schemas.openxmlformats.org/officeDocument/2006/relationships/hyperlink" Target="https://www.tradingview.com/chart/?symbol=nasdaq:amat" TargetMode="External" Id="rId28"/><Relationship Type="http://schemas.openxmlformats.org/officeDocument/2006/relationships/hyperlink" Target="https://www.tradingview.com/chart/?symbol=nyse:unh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nflx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asdaq:arm" TargetMode="External" Id="rId35"/><Relationship Type="http://schemas.openxmlformats.org/officeDocument/2006/relationships/hyperlink" Target="https://www.tradingview.com/chart/?symbol=nyse:gev" TargetMode="External" Id="rId36"/><Relationship Type="http://schemas.openxmlformats.org/officeDocument/2006/relationships/hyperlink" Target="https://www.tradingview.com/chart/?symbol=nyse:anet" TargetMode="External" Id="rId37"/><Relationship Type="http://schemas.openxmlformats.org/officeDocument/2006/relationships/hyperlink" Target="https://www.tradingview.com/chart/?symbol=nasdaq:klac" TargetMode="External" Id="rId38"/><Relationship Type="http://schemas.openxmlformats.org/officeDocument/2006/relationships/hyperlink" Target="https://www.tradingview.com/chart/?symbol=nyse:axp" TargetMode="External" Id="rId39"/><Relationship Type="http://schemas.openxmlformats.org/officeDocument/2006/relationships/hyperlink" Target="https://www.tradingview.com/chart/?symbol=nyse:crm" TargetMode="External" Id="rId40"/><Relationship Type="http://schemas.openxmlformats.org/officeDocument/2006/relationships/hyperlink" Target="https://www.tradingview.com/chart/?symbol=nyse:td" TargetMode="External" Id="rId41"/><Relationship Type="http://schemas.openxmlformats.org/officeDocument/2006/relationships/hyperlink" Target="https://www.tradingview.com/chart/?symbol=nasdaq:mrvl" TargetMode="External" Id="rId42"/><Relationship Type="http://schemas.openxmlformats.org/officeDocument/2006/relationships/hyperlink" Target="https://www.tradingview.com/chart/?symbol=nasdaq:qcom" TargetMode="External" Id="rId43"/><Relationship Type="http://schemas.openxmlformats.org/officeDocument/2006/relationships/hyperlink" Target="https://www.tradingview.com/chart/?symbol=nyse:nee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asdaq:wdc" TargetMode="External" Id="rId46"/><Relationship Type="http://schemas.openxmlformats.org/officeDocument/2006/relationships/hyperlink" Target="https://www.tradingview.com/chart/?symbol=nyse:etn" TargetMode="External" Id="rId47"/><Relationship Type="http://schemas.openxmlformats.org/officeDocument/2006/relationships/hyperlink" Target="https://www.tradingview.com/chart/?symbol=nyse:now" TargetMode="External" Id="rId48"/><Relationship Type="http://schemas.openxmlformats.org/officeDocument/2006/relationships/hyperlink" Target="https://www.tradingview.com/chart/?symbol=nyse:tjx" TargetMode="External" Id="rId49"/><Relationship Type="http://schemas.openxmlformats.org/officeDocument/2006/relationships/hyperlink" Target="https://www.tradingview.com/chart/?symbol=nasdaq:vrtx" TargetMode="External" Id="rId50"/><Relationship Type="http://schemas.openxmlformats.org/officeDocument/2006/relationships/hyperlink" Target="https://www.tradingview.com/chart/?symbol=nyse:nem" TargetMode="External" Id="rId51"/><Relationship Type="http://schemas.openxmlformats.org/officeDocument/2006/relationships/hyperlink" Target="https://www.tradingview.com/chart/?symbol=nyse:glw" TargetMode="External" Id="rId52"/><Relationship Type="http://schemas.openxmlformats.org/officeDocument/2006/relationships/hyperlink" Target="https://www.tradingview.com/chart/?symbol=nyse:pbr" TargetMode="External" Id="rId53"/><Relationship Type="http://schemas.openxmlformats.org/officeDocument/2006/relationships/hyperlink" Target="https://www.tradingview.com/chart/?symbol=nasdaq:isrg" TargetMode="External" Id="rId54"/><Relationship Type="http://schemas.openxmlformats.org/officeDocument/2006/relationships/hyperlink" Target="https://www.tradingview.com/chart/?symbol=nyse:lmt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bns" TargetMode="External" Id="rId57"/><Relationship Type="http://schemas.openxmlformats.org/officeDocument/2006/relationships/hyperlink" Target="https://www.tradingview.com/chart/?symbol=nasdaq:ftnt" TargetMode="External" Id="rId58"/><Relationship Type="http://schemas.openxmlformats.org/officeDocument/2006/relationships/hyperlink" Target="https://www.tradingview.com/chart/?symbol=nyse:bny" TargetMode="External" Id="rId59"/><Relationship Type="http://schemas.openxmlformats.org/officeDocument/2006/relationships/hyperlink" Target="https://www.tradingview.com/chart/?symbol=nyse:spot" TargetMode="External" Id="rId60"/><Relationship Type="http://schemas.openxmlformats.org/officeDocument/2006/relationships/hyperlink" Target="https://www.tradingview.com/chart/?symbol=nasdaq:hood" TargetMode="External" Id="rId61"/><Relationship Type="http://schemas.openxmlformats.org/officeDocument/2006/relationships/hyperlink" Target="https://www.tradingview.com/chart/?symbol=nyse:vrt" TargetMode="External" Id="rId62"/><Relationship Type="http://schemas.openxmlformats.org/officeDocument/2006/relationships/hyperlink" Target="https://www.tradingview.com/chart/?symbol=nasdaq:app" TargetMode="External" Id="rId63"/><Relationship Type="http://schemas.openxmlformats.org/officeDocument/2006/relationships/hyperlink" Target="https://www.tradingview.com/chart/?symbol=nyse:cm" TargetMode="External" Id="rId64"/><Relationship Type="http://schemas.openxmlformats.org/officeDocument/2006/relationships/hyperlink" Target="https://www.tradingview.com/chart/?symbol=nyse:eqnr" TargetMode="External" Id="rId65"/><Relationship Type="http://schemas.openxmlformats.org/officeDocument/2006/relationships/hyperlink" Target="https://www.tradingview.com/chart/?symbol=nyse:fcx" TargetMode="External" Id="rId66"/><Relationship Type="http://schemas.openxmlformats.org/officeDocument/2006/relationships/hyperlink" Target="https://www.tradingview.com/chart/?symbol=nyse:cnq" TargetMode="External" Id="rId67"/><Relationship Type="http://schemas.openxmlformats.org/officeDocument/2006/relationships/hyperlink" Target="https://www.tradingview.com/chart/?symbol=nyse:bx" TargetMode="External" Id="rId68"/><Relationship Type="http://schemas.openxmlformats.org/officeDocument/2006/relationships/hyperlink" Target="https://www.tradingview.com/chart/?symbol=nasdaq:cme" TargetMode="External" Id="rId69"/><Relationship Type="http://schemas.openxmlformats.org/officeDocument/2006/relationships/hyperlink" Target="https://www.tradingview.com/chart/?symbol=nyse:pnc" TargetMode="External" Id="rId70"/><Relationship Type="http://schemas.openxmlformats.org/officeDocument/2006/relationships/hyperlink" Target="https://www.tradingview.com/chart/?symbol=nyse:gd" TargetMode="External" Id="rId71"/><Relationship Type="http://schemas.openxmlformats.org/officeDocument/2006/relationships/hyperlink" Target="https://www.tradingview.com/chart/?symbol=nyse:kkr" TargetMode="External" Id="rId72"/><Relationship Type="http://schemas.openxmlformats.org/officeDocument/2006/relationships/hyperlink" Target="https://www.tradingview.com/chart/?symbol=nyse:pwr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csx" TargetMode="External" Id="rId75"/><Relationship Type="http://schemas.openxmlformats.org/officeDocument/2006/relationships/hyperlink" Target="https://www.tradingview.com/chart/?symbol=nyse:ice" TargetMode="External" Id="rId76"/><Relationship Type="http://schemas.openxmlformats.org/officeDocument/2006/relationships/hyperlink" Target="https://www.tradingview.com/chart/?symbol=nasdaq:mar" TargetMode="External" Id="rId77"/><Relationship Type="http://schemas.openxmlformats.org/officeDocument/2006/relationships/hyperlink" Target="https://www.tradingview.com/chart/?symbol=nasdaq:reg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su" TargetMode="External" Id="rId80"/><Relationship Type="http://schemas.openxmlformats.org/officeDocument/2006/relationships/hyperlink" Target="https://www.tradingview.com/chart/?symbol=nyse:eog" TargetMode="External" Id="rId81"/><Relationship Type="http://schemas.openxmlformats.org/officeDocument/2006/relationships/hyperlink" Target="https://www.tradingview.com/chart/?symbol=nasdaq:snps" TargetMode="External" Id="rId82"/><Relationship Type="http://schemas.openxmlformats.org/officeDocument/2006/relationships/hyperlink" Target="https://www.tradingview.com/chart/?symbol=nyse:tgt" TargetMode="External" Id="rId83"/><Relationship Type="http://schemas.openxmlformats.org/officeDocument/2006/relationships/hyperlink" Target="https://www.tradingview.com/chart/?symbol=nyse:cni" TargetMode="External" Id="rId84"/><Relationship Type="http://schemas.openxmlformats.org/officeDocument/2006/relationships/hyperlink" Target="https://www.tradingview.com/chart/?symbol=nyse:be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asdaq:rost" TargetMode="External" Id="rId87"/><Relationship Type="http://schemas.openxmlformats.org/officeDocument/2006/relationships/hyperlink" Target="https://www.tradingview.com/chart/?symbol=nyse:hlt" TargetMode="External" Id="rId88"/><Relationship Type="http://schemas.openxmlformats.org/officeDocument/2006/relationships/hyperlink" Target="https://www.tradingview.com/chart/?symbol=nyse:hpe" TargetMode="External" Id="rId89"/><Relationship Type="http://schemas.openxmlformats.org/officeDocument/2006/relationships/hyperlink" Target="https://www.tradingview.com/chart/?symbol=nasdaq:pcar" TargetMode="External" Id="rId90"/><Relationship Type="http://schemas.openxmlformats.org/officeDocument/2006/relationships/hyperlink" Target="https://www.tradingview.com/chart/?symbol=nyse:gww" TargetMode="External" Id="rId91"/><Relationship Type="http://schemas.openxmlformats.org/officeDocument/2006/relationships/hyperlink" Target="https://www.tradingview.com/chart/?symbol=amex:imo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yse:met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asdaq:mpwr" TargetMode="External" Id="rId96"/><Relationship Type="http://schemas.openxmlformats.org/officeDocument/2006/relationships/hyperlink" Target="https://www.tradingview.com/chart/?symbol=nyse:oxy" TargetMode="External" Id="rId97"/><Relationship Type="http://schemas.openxmlformats.org/officeDocument/2006/relationships/hyperlink" Target="https://www.tradingview.com/chart/?symbol=nyse:cah" TargetMode="External" Id="rId98"/><Relationship Type="http://schemas.openxmlformats.org/officeDocument/2006/relationships/hyperlink" Target="https://www.tradingview.com/chart/?symbol=nyse:nke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asdaq:fang" TargetMode="External" Id="rId101"/><Relationship Type="http://schemas.openxmlformats.org/officeDocument/2006/relationships/hyperlink" Target="https://www.tradingview.com/chart/?symbol=nyse:cohr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vst" TargetMode="External" Id="rId105"/><Relationship Type="http://schemas.openxmlformats.org/officeDocument/2006/relationships/hyperlink" Target="https://www.tradingview.com/chart/?symbol=nyse:etr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yse:ccj" TargetMode="External" Id="rId108"/><Relationship Type="http://schemas.openxmlformats.org/officeDocument/2006/relationships/hyperlink" Target="https://www.tradingview.com/chart/?symbol=nasdaq:ibkr" TargetMode="External" Id="rId109"/><Relationship Type="http://schemas.openxmlformats.org/officeDocument/2006/relationships/hyperlink" Target="https://www.tradingview.com/chart/?symbol=nasdaq:mchp" TargetMode="External" Id="rId110"/><Relationship Type="http://schemas.openxmlformats.org/officeDocument/2006/relationships/hyperlink" Target="https://www.tradingview.com/chart/?symbol=nasdaq:rprx" TargetMode="External" Id="rId111"/><Relationship Type="http://schemas.openxmlformats.org/officeDocument/2006/relationships/hyperlink" Target="https://www.tradingview.com/chart/?symbol=nyse:cls" TargetMode="External" Id="rId112"/><Relationship Type="http://schemas.openxmlformats.org/officeDocument/2006/relationships/hyperlink" Target="https://www.tradingview.com/chart/?symbol=nyse:jbl" TargetMode="External" Id="rId113"/><Relationship Type="http://schemas.openxmlformats.org/officeDocument/2006/relationships/hyperlink" Target="https://www.tradingview.com/chart/?symbol=nasdaq:crdo" TargetMode="External" Id="rId114"/><Relationship Type="http://schemas.openxmlformats.org/officeDocument/2006/relationships/hyperlink" Target="https://www.tradingview.com/chart/?symbol=nyse:fti" TargetMode="External" Id="rId115"/><Relationship Type="http://schemas.openxmlformats.org/officeDocument/2006/relationships/hyperlink" Target="https://www.tradingview.com/chart/?symbol=nyse:rddt" TargetMode="External" Id="rId116"/><Relationship Type="http://schemas.openxmlformats.org/officeDocument/2006/relationships/hyperlink" Target="https://www.tradingview.com/chart/?symbol=nyse:ati" TargetMode="External" Id="rId117"/><Relationship Type="http://schemas.openxmlformats.org/officeDocument/2006/relationships/hyperlink" Target="https://www.tradingview.com/chart/?symbol=nyse:lh" TargetMode="External" Id="rId118"/><Relationship Type="http://schemas.openxmlformats.org/officeDocument/2006/relationships/hyperlink" Target="https://www.tradingview.com/chart/?symbol=nasdaq:smci" TargetMode="External" Id="rId119"/><Relationship Type="http://schemas.openxmlformats.org/officeDocument/2006/relationships/hyperlink" Target="https://www.tradingview.com/chart/?symbol=nyse:expd" TargetMode="External" Id="rId120"/><Relationship Type="http://schemas.openxmlformats.org/officeDocument/2006/relationships/hyperlink" Target="https://www.tradingview.com/chart/?symbol=nyse:tpr" TargetMode="External" Id="rId121"/><Relationship Type="http://schemas.openxmlformats.org/officeDocument/2006/relationships/hyperlink" Target="https://www.tradingview.com/chart/?symbol=nyse:hubb" TargetMode="External" Id="rId122"/><Relationship Type="http://schemas.openxmlformats.org/officeDocument/2006/relationships/hyperlink" Target="https://www.tradingview.com/chart/?symbol=nyse:wst" TargetMode="External" Id="rId123"/><Relationship Type="http://schemas.openxmlformats.org/officeDocument/2006/relationships/hyperlink" Target="https://www.tradingview.com/chart/?symbol=nyse:xpo" TargetMode="External" Id="rId124"/><Relationship Type="http://schemas.openxmlformats.org/officeDocument/2006/relationships/hyperlink" Target="https://www.tradingview.com/chart/?symbol=nyse:snx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nyse:dino" TargetMode="External" Id="rId127"/><Relationship Type="http://schemas.openxmlformats.org/officeDocument/2006/relationships/hyperlink" Target="https://www.tradingview.com/chart/?symbol=nasdaq:medp" TargetMode="External" Id="rId128"/><Relationship Type="http://schemas.openxmlformats.org/officeDocument/2006/relationships/hyperlink" Target="https://www.tradingview.com/chart/?symbol=nasdaq:jazz" TargetMode="External" Id="rId129"/><Relationship Type="http://schemas.openxmlformats.org/officeDocument/2006/relationships/hyperlink" Target="https://www.tradingview.com/chart/?symbol=nasdaq:tig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yse:unm" TargetMode="External" Id="rId132"/><Relationship Type="http://schemas.openxmlformats.org/officeDocument/2006/relationships/hyperlink" Target="https://www.tradingview.com/chart/?symbol=nasdaq:hst" TargetMode="External" Id="rId133"/><Relationship Type="http://schemas.openxmlformats.org/officeDocument/2006/relationships/hyperlink" Target="https://www.tradingview.com/chart/?symbol=nyse:fn" TargetMode="External" Id="rId134"/><Relationship Type="http://schemas.openxmlformats.org/officeDocument/2006/relationships/hyperlink" Target="https://www.tradingview.com/chart/?symbol=nyse:gl" TargetMode="External" Id="rId135"/><Relationship Type="http://schemas.openxmlformats.org/officeDocument/2006/relationships/hyperlink" Target="https://www.tradingview.com/chart/?symbol=nasdaq:txrh" TargetMode="External" Id="rId136"/><Relationship Type="http://schemas.openxmlformats.org/officeDocument/2006/relationships/hyperlink" Target="https://www.tradingview.com/chart/?symbol=nyse:hii" TargetMode="External" Id="rId137"/><Relationship Type="http://schemas.openxmlformats.org/officeDocument/2006/relationships/hyperlink" Target="https://www.tradingview.com/chart/?symbol=nasdaq:lulu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mod" TargetMode="External" Id="rId140"/><Relationship Type="http://schemas.openxmlformats.org/officeDocument/2006/relationships/hyperlink" Target="https://www.tradingview.com/chart/?symbol=nasdaq:fcfs" TargetMode="External" Id="rId141"/><Relationship Type="http://schemas.openxmlformats.org/officeDocument/2006/relationships/hyperlink" Target="https://www.tradingview.com/chart/?symbol=nyse:voya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chrd" TargetMode="External" Id="rId144"/><Relationship Type="http://schemas.openxmlformats.org/officeDocument/2006/relationships/hyperlink" Target="https://www.tradingview.com/chart/?symbol=nyse:gap" TargetMode="External" Id="rId145"/><Relationship Type="http://schemas.openxmlformats.org/officeDocument/2006/relationships/hyperlink" Target="https://www.tradingview.com/chart/?symbol=nyse:sobo" TargetMode="External" Id="rId146"/><Relationship Type="http://schemas.openxmlformats.org/officeDocument/2006/relationships/hyperlink" Target="https://www.tradingview.com/chart/?symbol=nasdaq:duol" TargetMode="External" Id="rId147"/><Relationship Type="http://schemas.openxmlformats.org/officeDocument/2006/relationships/hyperlink" Target="https://www.tradingview.com/chart/?symbol=nasdaq:urbn" TargetMode="External" Id="rId148"/><Relationship Type="http://schemas.openxmlformats.org/officeDocument/2006/relationships/hyperlink" Target="https://www.tradingview.com/chart/?symbol=nyse:matx" TargetMode="External" Id="rId149"/><Relationship Type="http://schemas.openxmlformats.org/officeDocument/2006/relationships/hyperlink" Target="https://www.tradingview.com/chart/?symbol=nasdaq:ubsi" TargetMode="External" Id="rId150"/><Relationship Type="http://schemas.openxmlformats.org/officeDocument/2006/relationships/hyperlink" Target="https://www.tradingview.com/chart/?symbol=nasdaq:lqda" TargetMode="External" Id="rId151"/><Relationship Type="http://schemas.openxmlformats.org/officeDocument/2006/relationships/hyperlink" Target="https://www.tradingview.com/chart/?symbol=nasdaq:knsa" TargetMode="External" Id="rId152"/><Relationship Type="http://schemas.openxmlformats.org/officeDocument/2006/relationships/hyperlink" Target="https://www.tradingview.com/chart/?symbol=nasdaq:amrx" TargetMode="External" Id="rId153"/><Relationship Type="http://schemas.openxmlformats.org/officeDocument/2006/relationships/hyperlink" Target="https://www.tradingview.com/chart/?symbol=nasdaq:rushb" TargetMode="External" Id="rId154"/><Relationship Type="http://schemas.openxmlformats.org/officeDocument/2006/relationships/hyperlink" Target="https://www.tradingview.com/chart/?symbol=nyse:enva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yse:insw" TargetMode="External" Id="rId157"/><Relationship Type="http://schemas.openxmlformats.org/officeDocument/2006/relationships/hyperlink" Target="https://www.tradingview.com/chart/?symbol=nasdaq:ebc" TargetMode="External" Id="rId158"/><Relationship Type="http://schemas.openxmlformats.org/officeDocument/2006/relationships/hyperlink" Target="https://www.tradingview.com/chart/?symbol=nyse:unf" TargetMode="External" Id="rId159"/><Relationship Type="http://schemas.openxmlformats.org/officeDocument/2006/relationships/hyperlink" Target="https://www.tradingview.com/chart/?symbol=nyse:boot" TargetMode="External" Id="rId160"/><Relationship Type="http://schemas.openxmlformats.org/officeDocument/2006/relationships/hyperlink" Target="https://www.tradingview.com/chart/?symbol=nyse:kfy" TargetMode="External" Id="rId161"/><Relationship Type="http://schemas.openxmlformats.org/officeDocument/2006/relationships/hyperlink" Target="https://www.tradingview.com/chart/?symbol=nasdaq:meoh" TargetMode="External" Id="rId162"/><Relationship Type="http://schemas.openxmlformats.org/officeDocument/2006/relationships/hyperlink" Target="https://www.tradingview.com/chart/?symbol=nyse:fbp" TargetMode="External" Id="rId163"/><Relationship Type="http://schemas.openxmlformats.org/officeDocument/2006/relationships/hyperlink" Target="https://www.tradingview.com/chart/?symbol=nyse:bfh" TargetMode="External" Id="rId164"/><Relationship Type="http://schemas.openxmlformats.org/officeDocument/2006/relationships/hyperlink" Target="https://www.tradingview.com/chart/?symbol=nyse:geo" TargetMode="External" Id="rId165"/><Relationship Type="http://schemas.openxmlformats.org/officeDocument/2006/relationships/hyperlink" Target="https://www.tradingview.com/chart/?symbol=nyse:parr" TargetMode="External" Id="rId166"/><Relationship Type="http://schemas.openxmlformats.org/officeDocument/2006/relationships/hyperlink" Target="https://www.tradingview.com/chart/?symbol=nasdaq:wsfs" TargetMode="External" Id="rId167"/><Relationship Type="http://schemas.openxmlformats.org/officeDocument/2006/relationships/hyperlink" Target="https://www.tradingview.com/chart/?symbol=nyse:cdp" TargetMode="External" Id="rId168"/><Relationship Type="http://schemas.openxmlformats.org/officeDocument/2006/relationships/hyperlink" Target="https://www.tradingview.com/chart/?symbol=nyse:wt" TargetMode="External" Id="rId169"/><Relationship Type="http://schemas.openxmlformats.org/officeDocument/2006/relationships/hyperlink" Target="https://www.tradingview.com/chart/?symbol=nyse:aple" TargetMode="External" Id="rId170"/><Relationship Type="http://schemas.openxmlformats.org/officeDocument/2006/relationships/hyperlink" Target="https://www.tradingview.com/chart/?symbol=nyse:awr" TargetMode="External" Id="rId171"/><Relationship Type="http://schemas.openxmlformats.org/officeDocument/2006/relationships/hyperlink" Target="https://www.tradingview.com/chart/?symbol=nyse:cxw" TargetMode="External" Id="rId172"/><Relationship Type="http://schemas.openxmlformats.org/officeDocument/2006/relationships/hyperlink" Target="https://www.tradingview.com/chart/?symbol=amex:nhc" TargetMode="External" Id="rId173"/><Relationship Type="http://schemas.openxmlformats.org/officeDocument/2006/relationships/hyperlink" Target="https://www.tradingview.com/chart/?symbol=nasdaq:vcyt" TargetMode="External" Id="rId174"/><Relationship Type="http://schemas.openxmlformats.org/officeDocument/2006/relationships/hyperlink" Target="https://www.tradingview.com/chart/?symbol=nyse:pk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yse:aeo" TargetMode="External" Id="rId177"/><Relationship Type="http://schemas.openxmlformats.org/officeDocument/2006/relationships/hyperlink" Target="https://www.tradingview.com/chart/?symbol=nasdaq:slde" TargetMode="External" Id="rId178"/><Relationship Type="http://schemas.openxmlformats.org/officeDocument/2006/relationships/hyperlink" Target="https://www.tradingview.com/chart/?symbol=nyse:wttr" TargetMode="External" Id="rId179"/><Relationship Type="http://schemas.openxmlformats.org/officeDocument/2006/relationships/hyperlink" Target="https://www.tradingview.com/chart/?symbol=nyse:hto" TargetMode="External" Id="rId180"/><Relationship Type="http://schemas.openxmlformats.org/officeDocument/2006/relationships/hyperlink" Target="https://www.tradingview.com/chart/?symbol=nyse:drh" TargetMode="External" Id="rId181"/><Relationship Type="http://schemas.openxmlformats.org/officeDocument/2006/relationships/hyperlink" Target="https://www.tradingview.com/chart/?symbol=nasdaq:nwbi" TargetMode="External" Id="rId182"/><Relationship Type="http://schemas.openxmlformats.org/officeDocument/2006/relationships/hyperlink" Target="https://www.tradingview.com/chart/?symbol=nyse:ofg" TargetMode="External" Id="rId183"/><Relationship Type="http://schemas.openxmlformats.org/officeDocument/2006/relationships/hyperlink" Target="https://www.tradingview.com/chart/?symbol=nasdaq:ufpt" TargetMode="External" Id="rId184"/><Relationship Type="http://schemas.openxmlformats.org/officeDocument/2006/relationships/hyperlink" Target="https://www.tradingview.com/chart/?symbol=nyse:peb" TargetMode="External" Id="rId185"/><Relationship Type="http://schemas.openxmlformats.org/officeDocument/2006/relationships/hyperlink" Target="https://www.tradingview.com/chart/?symbol=nasdaq:karo" TargetMode="External" Id="rId186"/><Relationship Type="http://schemas.openxmlformats.org/officeDocument/2006/relationships/hyperlink" Target="https://www.tradingview.com/chart/?symbol=nasdaq:zd" TargetMode="External" Id="rId187"/><Relationship Type="http://schemas.openxmlformats.org/officeDocument/2006/relationships/hyperlink" Target="https://www.tradingview.com/chart/?symbol=nyse:lob" TargetMode="External" Id="rId188"/><Relationship Type="http://schemas.openxmlformats.org/officeDocument/2006/relationships/hyperlink" Target="https://www.tradingview.com/chart/?symbol=nyse:wkc" TargetMode="External" Id="rId189"/><Relationship Type="http://schemas.openxmlformats.org/officeDocument/2006/relationships/hyperlink" Target="https://www.tradingview.com/chart/?symbol=nyse:cbl" TargetMode="External" Id="rId190"/><Relationship Type="http://schemas.openxmlformats.org/officeDocument/2006/relationships/hyperlink" Target="https://www.tradingview.com/chart/?symbol=nasdaq:amal" TargetMode="External" Id="rId191"/><Relationship Type="http://schemas.openxmlformats.org/officeDocument/2006/relationships/hyperlink" Target="https://www.tradingview.com/chart/?symbol=nyse:rex" TargetMode="External" Id="rId192"/><Relationship Type="http://schemas.openxmlformats.org/officeDocument/2006/relationships/hyperlink" Target="https://www.tradingview.com/chart/?symbol=nasdaq:senea" TargetMode="External" Id="rId193"/><Relationship Type="http://schemas.openxmlformats.org/officeDocument/2006/relationships/hyperlink" Target="https://www.tradingview.com/chart/?symbol=nyse:amn" TargetMode="External" Id="rId194"/><Relationship Type="http://schemas.openxmlformats.org/officeDocument/2006/relationships/hyperlink" Target="https://www.tradingview.com/chart/?symbol=nyse:gnk" TargetMode="External" Id="rId195"/><Relationship Type="http://schemas.openxmlformats.org/officeDocument/2006/relationships/hyperlink" Target="https://www.tradingview.com/chart/?symbol=nasdaq:trst" TargetMode="External" Id="rId196"/><Relationship Type="http://schemas.openxmlformats.org/officeDocument/2006/relationships/hyperlink" Target="https://www.tradingview.com/chart/?symbol=nyse:kfrc" TargetMode="External" Id="rId197"/><Relationship Type="http://schemas.openxmlformats.org/officeDocument/2006/relationships/hyperlink" Target="https://www.tradingview.com/chart/?symbol=nasdaq:ccbg" TargetMode="External" Id="rId198"/><Relationship Type="http://schemas.openxmlformats.org/officeDocument/2006/relationships/hyperlink" Target="https://www.tradingview.com/chart/?symbol=nyse:hshp" TargetMode="External" Id="rId199"/><Relationship Type="http://schemas.openxmlformats.org/officeDocument/2006/relationships/hyperlink" Target="https://www.tradingview.com/chart/?symbol=nasdaq:pgc" TargetMode="External" Id="rId200"/><Relationship Type="http://schemas.openxmlformats.org/officeDocument/2006/relationships/hyperlink" Target="https://www.tradingview.com/chart/?symbol=nyse:max" TargetMode="External" Id="rId201"/><Relationship Type="http://schemas.openxmlformats.org/officeDocument/2006/relationships/hyperlink" Target="https://www.tradingview.com/chart/?symbol=nasdaq:rrbi" TargetMode="External" Id="rId202"/><Relationship Type="http://schemas.openxmlformats.org/officeDocument/2006/relationships/hyperlink" Target="https://www.tradingview.com/chart/?symbol=nyse:pke" TargetMode="External" Id="rId203"/><Relationship Type="http://schemas.openxmlformats.org/officeDocument/2006/relationships/hyperlink" Target="https://www.tradingview.com/chart/?symbol=nyse:cldt" TargetMode="External" Id="rId204"/><Relationship Type="http://schemas.openxmlformats.org/officeDocument/2006/relationships/hyperlink" Target="https://www.tradingview.com/chart/?symbol=nasdaq:intc" TargetMode="External" Id="rId205"/><Relationship Type="http://schemas.openxmlformats.org/officeDocument/2006/relationships/hyperlink" Target="https://www.tradingview.com/chart/?symbol=nasdaq:crwd" TargetMode="External" Id="rId206"/><Relationship Type="http://schemas.openxmlformats.org/officeDocument/2006/relationships/hyperlink" Target="https://www.tradingview.com/chart/?symbol=nasdaq:gild" TargetMode="External" Id="rId207"/><Relationship Type="http://schemas.openxmlformats.org/officeDocument/2006/relationships/hyperlink" Target="https://www.tradingview.com/chart/?symbol=nyse:ba" TargetMode="External" Id="rId208"/><Relationship Type="http://schemas.openxmlformats.org/officeDocument/2006/relationships/hyperlink" Target="https://www.tradingview.com/chart/?symbol=nasdaq:ceg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ddog" TargetMode="External" Id="rId211"/><Relationship Type="http://schemas.openxmlformats.org/officeDocument/2006/relationships/hyperlink" Target="https://www.tradingview.com/chart/?symbol=nasdaq:axon" TargetMode="External" Id="rId212"/><Relationship Type="http://schemas.openxmlformats.org/officeDocument/2006/relationships/hyperlink" Target="https://www.tradingview.com/chart/?symbol=nyse:cnc" TargetMode="External" Id="rId213"/><Relationship Type="http://schemas.openxmlformats.org/officeDocument/2006/relationships/hyperlink" Target="https://www.tradingview.com/chart/?symbol=nasdaq:mdb" TargetMode="External" Id="rId214"/><Relationship Type="http://schemas.openxmlformats.org/officeDocument/2006/relationships/hyperlink" Target="https://www.tradingview.com/chart/?symbol=nyse:iot" TargetMode="External" Id="rId215"/><Relationship Type="http://schemas.openxmlformats.org/officeDocument/2006/relationships/hyperlink" Target="https://www.tradingview.com/chart/?symbol=nyse:dd" TargetMode="External" Id="rId216"/><Relationship Type="http://schemas.openxmlformats.org/officeDocument/2006/relationships/hyperlink" Target="https://www.tradingview.com/chart/?symbol=nasdaq:tln" TargetMode="External" Id="rId217"/><Relationship Type="http://schemas.openxmlformats.org/officeDocument/2006/relationships/hyperlink" Target="https://www.tradingview.com/chart/?symbol=nyse:uhal" TargetMode="External" Id="rId218"/><Relationship Type="http://schemas.openxmlformats.org/officeDocument/2006/relationships/hyperlink" Target="https://www.tradingview.com/chart/?symbol=nasdaq:cort" TargetMode="External" Id="rId219"/><Relationship Type="http://schemas.openxmlformats.org/officeDocument/2006/relationships/hyperlink" Target="https://www.tradingview.com/chart/?symbol=nasdaq:tem" TargetMode="External" Id="rId220"/><Relationship Type="http://schemas.openxmlformats.org/officeDocument/2006/relationships/hyperlink" Target="https://www.tradingview.com/chart/?symbol=nasdaq:vsat" TargetMode="External" Id="rId221"/><Relationship Type="http://schemas.openxmlformats.org/officeDocument/2006/relationships/hyperlink" Target="https://www.tradingview.com/chart/?symbol=nyse:msgs" TargetMode="External" Id="rId222"/><Relationship Type="http://schemas.openxmlformats.org/officeDocument/2006/relationships/hyperlink" Target="https://www.tradingview.com/chart/?symbol=nyse:kmx" TargetMode="External" Id="rId223"/><Relationship Type="http://schemas.openxmlformats.org/officeDocument/2006/relationships/hyperlink" Target="https://www.tradingview.com/chart/?symbol=nasdaq:brkr" TargetMode="External" Id="rId224"/><Relationship Type="http://schemas.openxmlformats.org/officeDocument/2006/relationships/hyperlink" Target="https://www.tradingview.com/chart/?symbol=nyse:pbf" TargetMode="External" Id="rId225"/><Relationship Type="http://schemas.openxmlformats.org/officeDocument/2006/relationships/hyperlink" Target="https://www.tradingview.com/chart/?symbol=nyse:flr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asdaq:mndy" TargetMode="External" Id="rId228"/><Relationship Type="http://schemas.openxmlformats.org/officeDocument/2006/relationships/hyperlink" Target="https://www.tradingview.com/chart/?symbol=nasdaq:neo" TargetMode="External" Id="rId229"/><Relationship Type="http://schemas.openxmlformats.org/officeDocument/2006/relationships/hyperlink" Target="https://www.tradingview.com/chart/?symbol=nyse:oln" TargetMode="External" Id="rId230"/><Relationship Type="http://schemas.openxmlformats.org/officeDocument/2006/relationships/hyperlink" Target="https://www.tradingview.com/chart/?symbol=nasdaq:blfs" TargetMode="External" Id="rId231"/><Relationship Type="http://schemas.openxmlformats.org/officeDocument/2006/relationships/hyperlink" Target="https://www.tradingview.com/chart/?symbol=nasdaq:bjri" TargetMode="External" Id="rId232"/><Relationship Type="http://schemas.openxmlformats.org/officeDocument/2006/relationships/hyperlink" Target="https://www.tradingview.com/chart/?symbol=nasdaq:alrs" TargetMode="External" Id="rId233"/><Relationship Type="http://schemas.openxmlformats.org/officeDocument/2006/relationships/hyperlink" Target="https://www.tradingview.com/chart/?symbol=nyse:snow" TargetMode="External" Id="rId234"/><Relationship Type="http://schemas.openxmlformats.org/officeDocument/2006/relationships/hyperlink" Target="https://www.tradingview.com/chart/?symbol=nasdaq:zs" TargetMode="External" Id="rId235"/><Relationship Type="http://schemas.openxmlformats.org/officeDocument/2006/relationships/hyperlink" Target="https://www.tradingview.com/chart/?symbol=nyse:lumn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ova" TargetMode="External" Id="rId238"/><Relationship Type="http://schemas.openxmlformats.org/officeDocument/2006/relationships/hyperlink" Target="https://www.tradingview.com/chart/?symbol=nyse:rcus" TargetMode="External" Id="rId239"/><Relationship Type="http://schemas.openxmlformats.org/officeDocument/2006/relationships/hyperlink" Target="https://www.tradingview.com/chart/?symbol=nasdaq:soun" TargetMode="External" Id="rId240"/><Relationship Type="http://schemas.openxmlformats.org/officeDocument/2006/relationships/hyperlink" Target="https://www.tradingview.com/chart/?symbol=nyse:rdw" TargetMode="External" Id="rId241"/><Relationship Type="http://schemas.openxmlformats.org/officeDocument/2006/relationships/hyperlink" Target="https://www.tradingview.com/chart/?symbol=nyse:oust" TargetMode="External" Id="rId242"/><Relationship Type="http://schemas.openxmlformats.org/officeDocument/2006/relationships/hyperlink" Target="https://www.tradingview.com/chart/?symbol=nyse:ai" TargetMode="External" Id="rId243"/><Relationship Type="http://schemas.openxmlformats.org/officeDocument/2006/relationships/hyperlink" Target="https://www.tradingview.com/chart/?symbol=nasdaq:ango" TargetMode="External" Id="rId244"/><Relationship Type="http://schemas.openxmlformats.org/officeDocument/2006/relationships/hyperlink" Target="https://www.tradingview.com/chart/?symbol=nyse:mrk" TargetMode="External" Id="rId245"/><Relationship Type="http://schemas.openxmlformats.org/officeDocument/2006/relationships/hyperlink" Target="https://www.tradingview.com/chart/?symbol=nasdaq:panw" TargetMode="External" Id="rId246"/><Relationship Type="http://schemas.openxmlformats.org/officeDocument/2006/relationships/hyperlink" Target="https://www.tradingview.com/chart/?symbol=nyse:net" TargetMode="External" Id="rId247"/><Relationship Type="http://schemas.openxmlformats.org/officeDocument/2006/relationships/hyperlink" Target="https://www.tradingview.com/chart/?symbol=nasdaq:nbis" TargetMode="External" Id="rId248"/><Relationship Type="http://schemas.openxmlformats.org/officeDocument/2006/relationships/hyperlink" Target="https://www.tradingview.com/chart/?symbol=nasdaq:mrna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asdaq:crwv" TargetMode="External" Id="rId251"/><Relationship Type="http://schemas.openxmlformats.org/officeDocument/2006/relationships/hyperlink" Target="https://www.tradingview.com/chart/?symbol=nasdaq:coin" TargetMode="External" Id="rId252"/><Relationship Type="http://schemas.openxmlformats.org/officeDocument/2006/relationships/hyperlink" Target="https://www.tradingview.com/chart/?symbol=nasdaq:rvmd" TargetMode="External" Id="rId253"/><Relationship Type="http://schemas.openxmlformats.org/officeDocument/2006/relationships/hyperlink" Target="https://www.tradingview.com/chart/?symbol=nasdaq:iren" TargetMode="External" Id="rId254"/><Relationship Type="http://schemas.openxmlformats.org/officeDocument/2006/relationships/hyperlink" Target="https://www.tradingview.com/chart/?symbol=nasdaq:arwr" TargetMode="External" Id="rId255"/><Relationship Type="http://schemas.openxmlformats.org/officeDocument/2006/relationships/hyperlink" Target="https://www.tradingview.com/chart/?symbol=nasdaq:gsat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syre" TargetMode="External" Id="rId258"/><Relationship Type="http://schemas.openxmlformats.org/officeDocument/2006/relationships/hyperlink" Target="https://www.tradingview.com/chart/?symbol=nasdaq:apld" TargetMode="External" Id="rId259"/><Relationship Type="http://schemas.openxmlformats.org/officeDocument/2006/relationships/hyperlink" Target="https://www.tradingview.com/chart/?symbol=nyse:oklo" TargetMode="External" Id="rId260"/><Relationship Type="http://schemas.openxmlformats.org/officeDocument/2006/relationships/hyperlink" Target="https://www.tradingview.com/chart/?symbol=nasdaq:dnth" TargetMode="External" Id="rId261"/><Relationship Type="http://schemas.openxmlformats.org/officeDocument/2006/relationships/hyperlink" Target="https://www.tradingview.com/chart/?symbol=nasdaq:elvn" TargetMode="External" Id="rId262"/><Relationship Type="http://schemas.openxmlformats.org/officeDocument/2006/relationships/hyperlink" Target="https://www.tradingview.com/chart/?symbol=nasdaq:rlay" TargetMode="External" Id="rId263"/><Relationship Type="http://schemas.openxmlformats.org/officeDocument/2006/relationships/hyperlink" Target="https://www.tradingview.com/chart/?symbol=nasdaq:adpt" TargetMode="External" Id="rId264"/><Relationship Type="http://schemas.openxmlformats.org/officeDocument/2006/relationships/hyperlink" Target="https://www.tradingview.com/chart/?symbol=nasdaq:cldx" TargetMode="External" Id="rId265"/><Relationship Type="http://schemas.openxmlformats.org/officeDocument/2006/relationships/hyperlink" Target="https://www.tradingview.com/chart/?symbol=nasdaq:mbx" TargetMode="External" Id="rId266"/><Relationship Type="http://schemas.openxmlformats.org/officeDocument/2006/relationships/hyperlink" Target="https://www.tradingview.com/chart/?symbol=nasdaq:axgn" TargetMode="External" Id="rId267"/><Relationship Type="http://schemas.openxmlformats.org/officeDocument/2006/relationships/hyperlink" Target="https://www.tradingview.com/chart/?symbol=nasdaq:trvi" TargetMode="External" Id="rId268"/><Relationship Type="http://schemas.openxmlformats.org/officeDocument/2006/relationships/hyperlink" Target="https://www.tradingview.com/chart/?symbol=nasdaq:pvla" TargetMode="External" Id="rId269"/><Relationship Type="http://schemas.openxmlformats.org/officeDocument/2006/relationships/hyperlink" Target="https://www.tradingview.com/chart/?symbol=nasdaq:rapp" TargetMode="External" Id="rId270"/><Relationship Type="http://schemas.openxmlformats.org/officeDocument/2006/relationships/hyperlink" Target="https://www.tradingview.com/chart/?symbol=nyse:bbai" TargetMode="External" Id="rId271"/><Relationship Type="http://schemas.openxmlformats.org/officeDocument/2006/relationships/hyperlink" Target="https://www.tradingview.com/chart/?symbol=nasdaq:cyrx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hmy" TargetMode="External" Id="rId27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nvda" TargetMode="External" Id="rId1"/><Relationship Type="http://schemas.openxmlformats.org/officeDocument/2006/relationships/hyperlink" Target="https://www.tradingview.com/chart/?symbol=nasdaq:googl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asdaq:avgo" TargetMode="External" Id="rId6"/><Relationship Type="http://schemas.openxmlformats.org/officeDocument/2006/relationships/hyperlink" Target="https://www.tradingview.com/chart/?symbol=nasdaq:meta" TargetMode="External" Id="rId7"/><Relationship Type="http://schemas.openxmlformats.org/officeDocument/2006/relationships/hyperlink" Target="https://www.tradingview.com/chart/?symbol=nasdaq:tsla" TargetMode="External" Id="rId8"/><Relationship Type="http://schemas.openxmlformats.org/officeDocument/2006/relationships/hyperlink" Target="https://www.tradingview.com/chart/?symbol=nasdaq:mu" TargetMode="External" Id="rId9"/><Relationship Type="http://schemas.openxmlformats.org/officeDocument/2006/relationships/hyperlink" Target="https://www.tradingview.com/chart/?symbol=nyse:lly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asdaq:amd" TargetMode="External" Id="rId12"/><Relationship Type="http://schemas.openxmlformats.org/officeDocument/2006/relationships/hyperlink" Target="https://www.tradingview.com/chart/?symbol=nyse:v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asdaq:asml" TargetMode="External" Id="rId15"/><Relationship Type="http://schemas.openxmlformats.org/officeDocument/2006/relationships/hyperlink" Target="https://www.tradingview.com/chart/?symbol=nyse:xom" TargetMode="External" Id="rId16"/><Relationship Type="http://schemas.openxmlformats.org/officeDocument/2006/relationships/hyperlink" Target="https://www.tradingview.com/chart/?symbol=nyse:ma" TargetMode="External" Id="rId17"/><Relationship Type="http://schemas.openxmlformats.org/officeDocument/2006/relationships/hyperlink" Target="https://www.tradingview.com/chart/?symbol=nyse:orcl" TargetMode="External" Id="rId18"/><Relationship Type="http://schemas.openxmlformats.org/officeDocument/2006/relationships/hyperlink" Target="https://www.tradingview.com/chart/?symbol=nyse:abbv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asdaq:pltr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cost" TargetMode="External" Id="rId23"/><Relationship Type="http://schemas.openxmlformats.org/officeDocument/2006/relationships/hyperlink" Target="https://www.tradingview.com/chart/?symbol=nasdaq:lrcx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cat" TargetMode="External" Id="rId26"/><Relationship Type="http://schemas.openxmlformats.org/officeDocument/2006/relationships/hyperlink" Target="https://www.tradingview.com/chart/?symbol=nyse:hsbc" TargetMode="External" Id="rId27"/><Relationship Type="http://schemas.openxmlformats.org/officeDocument/2006/relationships/hyperlink" Target="https://www.tradingview.com/chart/?symbol=nasdaq:amat" TargetMode="External" Id="rId28"/><Relationship Type="http://schemas.openxmlformats.org/officeDocument/2006/relationships/hyperlink" Target="https://www.tradingview.com/chart/?symbol=nyse:unh" TargetMode="External" Id="rId29"/><Relationship Type="http://schemas.openxmlformats.org/officeDocument/2006/relationships/hyperlink" Target="https://www.tradingview.com/chart/?symbol=nyse:ms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asdaq:nflx" TargetMode="External" Id="rId32"/><Relationship Type="http://schemas.openxmlformats.org/officeDocument/2006/relationships/hyperlink" Target="https://www.tradingview.com/chart/?symbol=nyse:gs" TargetMode="External" Id="rId33"/><Relationship Type="http://schemas.openxmlformats.org/officeDocument/2006/relationships/hyperlink" Target="https://www.tradingview.com/chart/?symbol=nyse:rtx" TargetMode="External" Id="rId34"/><Relationship Type="http://schemas.openxmlformats.org/officeDocument/2006/relationships/hyperlink" Target="https://www.tradingview.com/chart/?symbol=nasdaq:arm" TargetMode="External" Id="rId35"/><Relationship Type="http://schemas.openxmlformats.org/officeDocument/2006/relationships/hyperlink" Target="https://www.tradingview.com/chart/?symbol=nyse:gev" TargetMode="External" Id="rId36"/><Relationship Type="http://schemas.openxmlformats.org/officeDocument/2006/relationships/hyperlink" Target="https://www.tradingview.com/chart/?symbol=nyse:anet" TargetMode="External" Id="rId37"/><Relationship Type="http://schemas.openxmlformats.org/officeDocument/2006/relationships/hyperlink" Target="https://www.tradingview.com/chart/?symbol=nasdaq:klac" TargetMode="External" Id="rId38"/><Relationship Type="http://schemas.openxmlformats.org/officeDocument/2006/relationships/hyperlink" Target="https://www.tradingview.com/chart/?symbol=nyse:axp" TargetMode="External" Id="rId39"/><Relationship Type="http://schemas.openxmlformats.org/officeDocument/2006/relationships/hyperlink" Target="https://www.tradingview.com/chart/?symbol=nyse:crm" TargetMode="External" Id="rId40"/><Relationship Type="http://schemas.openxmlformats.org/officeDocument/2006/relationships/hyperlink" Target="https://www.tradingview.com/chart/?symbol=nyse:td" TargetMode="External" Id="rId41"/><Relationship Type="http://schemas.openxmlformats.org/officeDocument/2006/relationships/hyperlink" Target="https://www.tradingview.com/chart/?symbol=nasdaq:mrvl" TargetMode="External" Id="rId42"/><Relationship Type="http://schemas.openxmlformats.org/officeDocument/2006/relationships/hyperlink" Target="https://www.tradingview.com/chart/?symbol=nasdaq:qcom" TargetMode="External" Id="rId43"/><Relationship Type="http://schemas.openxmlformats.org/officeDocument/2006/relationships/hyperlink" Target="https://www.tradingview.com/chart/?symbol=nyse:nee" TargetMode="External" Id="rId44"/><Relationship Type="http://schemas.openxmlformats.org/officeDocument/2006/relationships/hyperlink" Target="https://www.tradingview.com/chart/?symbol=nyse:unp" TargetMode="External" Id="rId45"/><Relationship Type="http://schemas.openxmlformats.org/officeDocument/2006/relationships/hyperlink" Target="https://www.tradingview.com/chart/?symbol=nasdaq:wdc" TargetMode="External" Id="rId46"/><Relationship Type="http://schemas.openxmlformats.org/officeDocument/2006/relationships/hyperlink" Target="https://www.tradingview.com/chart/?symbol=nyse:etn" TargetMode="External" Id="rId47"/><Relationship Type="http://schemas.openxmlformats.org/officeDocument/2006/relationships/hyperlink" Target="https://www.tradingview.com/chart/?symbol=nyse:now" TargetMode="External" Id="rId48"/><Relationship Type="http://schemas.openxmlformats.org/officeDocument/2006/relationships/hyperlink" Target="https://www.tradingview.com/chart/?symbol=nyse:tjx" TargetMode="External" Id="rId49"/><Relationship Type="http://schemas.openxmlformats.org/officeDocument/2006/relationships/hyperlink" Target="https://www.tradingview.com/chart/?symbol=nasdaq:vrtx" TargetMode="External" Id="rId50"/><Relationship Type="http://schemas.openxmlformats.org/officeDocument/2006/relationships/hyperlink" Target="https://www.tradingview.com/chart/?symbol=nyse:nem" TargetMode="External" Id="rId51"/><Relationship Type="http://schemas.openxmlformats.org/officeDocument/2006/relationships/hyperlink" Target="https://www.tradingview.com/chart/?symbol=nyse:glw" TargetMode="External" Id="rId52"/><Relationship Type="http://schemas.openxmlformats.org/officeDocument/2006/relationships/hyperlink" Target="https://www.tradingview.com/chart/?symbol=nyse:pbr" TargetMode="External" Id="rId53"/><Relationship Type="http://schemas.openxmlformats.org/officeDocument/2006/relationships/hyperlink" Target="https://www.tradingview.com/chart/?symbol=nasdaq:isrg" TargetMode="External" Id="rId54"/><Relationship Type="http://schemas.openxmlformats.org/officeDocument/2006/relationships/hyperlink" Target="https://www.tradingview.com/chart/?symbol=nyse:lmt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bns" TargetMode="External" Id="rId57"/><Relationship Type="http://schemas.openxmlformats.org/officeDocument/2006/relationships/hyperlink" Target="https://www.tradingview.com/chart/?symbol=nasdaq:ftnt" TargetMode="External" Id="rId58"/><Relationship Type="http://schemas.openxmlformats.org/officeDocument/2006/relationships/hyperlink" Target="https://www.tradingview.com/chart/?symbol=nyse:bny" TargetMode="External" Id="rId59"/><Relationship Type="http://schemas.openxmlformats.org/officeDocument/2006/relationships/hyperlink" Target="https://www.tradingview.com/chart/?symbol=nyse:spot" TargetMode="External" Id="rId60"/><Relationship Type="http://schemas.openxmlformats.org/officeDocument/2006/relationships/hyperlink" Target="https://www.tradingview.com/chart/?symbol=nasdaq:hood" TargetMode="External" Id="rId61"/><Relationship Type="http://schemas.openxmlformats.org/officeDocument/2006/relationships/hyperlink" Target="https://www.tradingview.com/chart/?symbol=nyse:vrt" TargetMode="External" Id="rId62"/><Relationship Type="http://schemas.openxmlformats.org/officeDocument/2006/relationships/hyperlink" Target="https://www.tradingview.com/chart/?symbol=nasdaq:app" TargetMode="External" Id="rId63"/><Relationship Type="http://schemas.openxmlformats.org/officeDocument/2006/relationships/hyperlink" Target="https://www.tradingview.com/chart/?symbol=nyse:cm" TargetMode="External" Id="rId64"/><Relationship Type="http://schemas.openxmlformats.org/officeDocument/2006/relationships/hyperlink" Target="https://www.tradingview.com/chart/?symbol=nyse:eqnr" TargetMode="External" Id="rId65"/><Relationship Type="http://schemas.openxmlformats.org/officeDocument/2006/relationships/hyperlink" Target="https://www.tradingview.com/chart/?symbol=nyse:fcx" TargetMode="External" Id="rId66"/><Relationship Type="http://schemas.openxmlformats.org/officeDocument/2006/relationships/hyperlink" Target="https://www.tradingview.com/chart/?symbol=nyse:cnq" TargetMode="External" Id="rId67"/><Relationship Type="http://schemas.openxmlformats.org/officeDocument/2006/relationships/hyperlink" Target="https://www.tradingview.com/chart/?symbol=nyse:bx" TargetMode="External" Id="rId68"/><Relationship Type="http://schemas.openxmlformats.org/officeDocument/2006/relationships/hyperlink" Target="https://www.tradingview.com/chart/?symbol=nasdaq:cme" TargetMode="External" Id="rId69"/><Relationship Type="http://schemas.openxmlformats.org/officeDocument/2006/relationships/hyperlink" Target="https://www.tradingview.com/chart/?symbol=nyse:pnc" TargetMode="External" Id="rId70"/><Relationship Type="http://schemas.openxmlformats.org/officeDocument/2006/relationships/hyperlink" Target="https://www.tradingview.com/chart/?symbol=nyse:gd" TargetMode="External" Id="rId71"/><Relationship Type="http://schemas.openxmlformats.org/officeDocument/2006/relationships/hyperlink" Target="https://www.tradingview.com/chart/?symbol=nyse:kkr" TargetMode="External" Id="rId72"/><Relationship Type="http://schemas.openxmlformats.org/officeDocument/2006/relationships/hyperlink" Target="https://www.tradingview.com/chart/?symbol=nyse:pwr" TargetMode="External" Id="rId73"/><Relationship Type="http://schemas.openxmlformats.org/officeDocument/2006/relationships/hyperlink" Target="https://www.tradingview.com/chart/?symbol=nasdaq:dash" TargetMode="External" Id="rId74"/><Relationship Type="http://schemas.openxmlformats.org/officeDocument/2006/relationships/hyperlink" Target="https://www.tradingview.com/chart/?symbol=nasdaq:csx" TargetMode="External" Id="rId75"/><Relationship Type="http://schemas.openxmlformats.org/officeDocument/2006/relationships/hyperlink" Target="https://www.tradingview.com/chart/?symbol=nyse:ice" TargetMode="External" Id="rId76"/><Relationship Type="http://schemas.openxmlformats.org/officeDocument/2006/relationships/hyperlink" Target="https://www.tradingview.com/chart/?symbol=nasdaq:mar" TargetMode="External" Id="rId77"/><Relationship Type="http://schemas.openxmlformats.org/officeDocument/2006/relationships/hyperlink" Target="https://www.tradingview.com/chart/?symbol=nasdaq:regn" TargetMode="External" Id="rId78"/><Relationship Type="http://schemas.openxmlformats.org/officeDocument/2006/relationships/hyperlink" Target="https://www.tradingview.com/chart/?symbol=nasdaq:cdns" TargetMode="External" Id="rId79"/><Relationship Type="http://schemas.openxmlformats.org/officeDocument/2006/relationships/hyperlink" Target="https://www.tradingview.com/chart/?symbol=nyse:su" TargetMode="External" Id="rId80"/><Relationship Type="http://schemas.openxmlformats.org/officeDocument/2006/relationships/hyperlink" Target="https://www.tradingview.com/chart/?symbol=nyse:eog" TargetMode="External" Id="rId81"/><Relationship Type="http://schemas.openxmlformats.org/officeDocument/2006/relationships/hyperlink" Target="https://www.tradingview.com/chart/?symbol=nasdaq:snps" TargetMode="External" Id="rId82"/><Relationship Type="http://schemas.openxmlformats.org/officeDocument/2006/relationships/hyperlink" Target="https://www.tradingview.com/chart/?symbol=nyse:tgt" TargetMode="External" Id="rId83"/><Relationship Type="http://schemas.openxmlformats.org/officeDocument/2006/relationships/hyperlink" Target="https://www.tradingview.com/chart/?symbol=nyse:cni" TargetMode="External" Id="rId84"/><Relationship Type="http://schemas.openxmlformats.org/officeDocument/2006/relationships/hyperlink" Target="https://www.tradingview.com/chart/?symbol=nyse:be" TargetMode="External" Id="rId85"/><Relationship Type="http://schemas.openxmlformats.org/officeDocument/2006/relationships/hyperlink" Target="https://www.tradingview.com/chart/?symbol=nyse:nsc" TargetMode="External" Id="rId86"/><Relationship Type="http://schemas.openxmlformats.org/officeDocument/2006/relationships/hyperlink" Target="https://www.tradingview.com/chart/?symbol=nasdaq:rost" TargetMode="External" Id="rId87"/><Relationship Type="http://schemas.openxmlformats.org/officeDocument/2006/relationships/hyperlink" Target="https://www.tradingview.com/chart/?symbol=nyse:hlt" TargetMode="External" Id="rId88"/><Relationship Type="http://schemas.openxmlformats.org/officeDocument/2006/relationships/hyperlink" Target="https://www.tradingview.com/chart/?symbol=nyse:hpe" TargetMode="External" Id="rId89"/><Relationship Type="http://schemas.openxmlformats.org/officeDocument/2006/relationships/hyperlink" Target="https://www.tradingview.com/chart/?symbol=nasdaq:pcar" TargetMode="External" Id="rId90"/><Relationship Type="http://schemas.openxmlformats.org/officeDocument/2006/relationships/hyperlink" Target="https://www.tradingview.com/chart/?symbol=nyse:gww" TargetMode="External" Id="rId91"/><Relationship Type="http://schemas.openxmlformats.org/officeDocument/2006/relationships/hyperlink" Target="https://www.tradingview.com/chart/?symbol=amex:imo" TargetMode="External" Id="rId92"/><Relationship Type="http://schemas.openxmlformats.org/officeDocument/2006/relationships/hyperlink" Target="https://www.tradingview.com/chart/?symbol=nyse:trgp" TargetMode="External" Id="rId93"/><Relationship Type="http://schemas.openxmlformats.org/officeDocument/2006/relationships/hyperlink" Target="https://www.tradingview.com/chart/?symbol=nyse:met" TargetMode="External" Id="rId94"/><Relationship Type="http://schemas.openxmlformats.org/officeDocument/2006/relationships/hyperlink" Target="https://www.tradingview.com/chart/?symbol=nyse:cve" TargetMode="External" Id="rId95"/><Relationship Type="http://schemas.openxmlformats.org/officeDocument/2006/relationships/hyperlink" Target="https://www.tradingview.com/chart/?symbol=nasdaq:mpwr" TargetMode="External" Id="rId96"/><Relationship Type="http://schemas.openxmlformats.org/officeDocument/2006/relationships/hyperlink" Target="https://www.tradingview.com/chart/?symbol=nyse:oxy" TargetMode="External" Id="rId97"/><Relationship Type="http://schemas.openxmlformats.org/officeDocument/2006/relationships/hyperlink" Target="https://www.tradingview.com/chart/?symbol=nyse:cah" TargetMode="External" Id="rId98"/><Relationship Type="http://schemas.openxmlformats.org/officeDocument/2006/relationships/hyperlink" Target="https://www.tradingview.com/chart/?symbol=nyse:nke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asdaq:fang" TargetMode="External" Id="rId101"/><Relationship Type="http://schemas.openxmlformats.org/officeDocument/2006/relationships/hyperlink" Target="https://www.tradingview.com/chart/?symbol=nyse:cohr" TargetMode="External" Id="rId102"/><Relationship Type="http://schemas.openxmlformats.org/officeDocument/2006/relationships/hyperlink" Target="https://www.tradingview.com/chart/?symbol=nasdaq:alab" TargetMode="External" Id="rId103"/><Relationship Type="http://schemas.openxmlformats.org/officeDocument/2006/relationships/hyperlink" Target="https://www.tradingview.com/chart/?symbol=nyse:stt" TargetMode="External" Id="rId104"/><Relationship Type="http://schemas.openxmlformats.org/officeDocument/2006/relationships/hyperlink" Target="https://www.tradingview.com/chart/?symbol=nyse:vst" TargetMode="External" Id="rId105"/><Relationship Type="http://schemas.openxmlformats.org/officeDocument/2006/relationships/hyperlink" Target="https://www.tradingview.com/chart/?symbol=nyse:etr" TargetMode="External" Id="rId106"/><Relationship Type="http://schemas.openxmlformats.org/officeDocument/2006/relationships/hyperlink" Target="https://www.tradingview.com/chart/?symbol=nyse:cien" TargetMode="External" Id="rId107"/><Relationship Type="http://schemas.openxmlformats.org/officeDocument/2006/relationships/hyperlink" Target="https://www.tradingview.com/chart/?symbol=nyse:ccj" TargetMode="External" Id="rId108"/><Relationship Type="http://schemas.openxmlformats.org/officeDocument/2006/relationships/hyperlink" Target="https://www.tradingview.com/chart/?symbol=nasdaq:ibkr" TargetMode="External" Id="rId109"/><Relationship Type="http://schemas.openxmlformats.org/officeDocument/2006/relationships/hyperlink" Target="https://www.tradingview.com/chart/?symbol=nasdaq:mchp" TargetMode="External" Id="rId110"/><Relationship Type="http://schemas.openxmlformats.org/officeDocument/2006/relationships/hyperlink" Target="https://www.tradingview.com/chart/?symbol=nasdaq:rprx" TargetMode="External" Id="rId111"/><Relationship Type="http://schemas.openxmlformats.org/officeDocument/2006/relationships/hyperlink" Target="https://www.tradingview.com/chart/?symbol=nyse:cls" TargetMode="External" Id="rId112"/><Relationship Type="http://schemas.openxmlformats.org/officeDocument/2006/relationships/hyperlink" Target="https://www.tradingview.com/chart/?symbol=nyse:jbl" TargetMode="External" Id="rId113"/><Relationship Type="http://schemas.openxmlformats.org/officeDocument/2006/relationships/hyperlink" Target="https://www.tradingview.com/chart/?symbol=nasdaq:crdo" TargetMode="External" Id="rId114"/><Relationship Type="http://schemas.openxmlformats.org/officeDocument/2006/relationships/hyperlink" Target="https://www.tradingview.com/chart/?symbol=nyse:fti" TargetMode="External" Id="rId115"/><Relationship Type="http://schemas.openxmlformats.org/officeDocument/2006/relationships/hyperlink" Target="https://www.tradingview.com/chart/?symbol=nyse:rddt" TargetMode="External" Id="rId116"/><Relationship Type="http://schemas.openxmlformats.org/officeDocument/2006/relationships/hyperlink" Target="https://www.tradingview.com/chart/?symbol=nyse:ati" TargetMode="External" Id="rId117"/><Relationship Type="http://schemas.openxmlformats.org/officeDocument/2006/relationships/hyperlink" Target="https://www.tradingview.com/chart/?symbol=nyse:lh" TargetMode="External" Id="rId118"/><Relationship Type="http://schemas.openxmlformats.org/officeDocument/2006/relationships/hyperlink" Target="https://www.tradingview.com/chart/?symbol=nasdaq:smci" TargetMode="External" Id="rId119"/><Relationship Type="http://schemas.openxmlformats.org/officeDocument/2006/relationships/hyperlink" Target="https://www.tradingview.com/chart/?symbol=nyse:expd" TargetMode="External" Id="rId120"/><Relationship Type="http://schemas.openxmlformats.org/officeDocument/2006/relationships/hyperlink" Target="https://www.tradingview.com/chart/?symbol=nyse:tpr" TargetMode="External" Id="rId121"/><Relationship Type="http://schemas.openxmlformats.org/officeDocument/2006/relationships/hyperlink" Target="https://www.tradingview.com/chart/?symbol=nyse:hubb" TargetMode="External" Id="rId122"/><Relationship Type="http://schemas.openxmlformats.org/officeDocument/2006/relationships/hyperlink" Target="https://www.tradingview.com/chart/?symbol=nyse:wst" TargetMode="External" Id="rId123"/><Relationship Type="http://schemas.openxmlformats.org/officeDocument/2006/relationships/hyperlink" Target="https://www.tradingview.com/chart/?symbol=nyse:xpo" TargetMode="External" Id="rId124"/><Relationship Type="http://schemas.openxmlformats.org/officeDocument/2006/relationships/hyperlink" Target="https://www.tradingview.com/chart/?symbol=nyse:snx" TargetMode="External" Id="rId125"/><Relationship Type="http://schemas.openxmlformats.org/officeDocument/2006/relationships/hyperlink" Target="https://www.tradingview.com/chart/?symbol=nyse:cf" TargetMode="External" Id="rId126"/><Relationship Type="http://schemas.openxmlformats.org/officeDocument/2006/relationships/hyperlink" Target="https://www.tradingview.com/chart/?symbol=nyse:dino" TargetMode="External" Id="rId127"/><Relationship Type="http://schemas.openxmlformats.org/officeDocument/2006/relationships/hyperlink" Target="https://www.tradingview.com/chart/?symbol=nasdaq:medp" TargetMode="External" Id="rId128"/><Relationship Type="http://schemas.openxmlformats.org/officeDocument/2006/relationships/hyperlink" Target="https://www.tradingview.com/chart/?symbol=nasdaq:jazz" TargetMode="External" Id="rId129"/><Relationship Type="http://schemas.openxmlformats.org/officeDocument/2006/relationships/hyperlink" Target="https://www.tradingview.com/chart/?symbol=nasdaq:tigo" TargetMode="External" Id="rId130"/><Relationship Type="http://schemas.openxmlformats.org/officeDocument/2006/relationships/hyperlink" Target="https://www.tradingview.com/chart/?symbol=nyse:h" TargetMode="External" Id="rId131"/><Relationship Type="http://schemas.openxmlformats.org/officeDocument/2006/relationships/hyperlink" Target="https://www.tradingview.com/chart/?symbol=nyse:unm" TargetMode="External" Id="rId132"/><Relationship Type="http://schemas.openxmlformats.org/officeDocument/2006/relationships/hyperlink" Target="https://www.tradingview.com/chart/?symbol=nasdaq:hst" TargetMode="External" Id="rId133"/><Relationship Type="http://schemas.openxmlformats.org/officeDocument/2006/relationships/hyperlink" Target="https://www.tradingview.com/chart/?symbol=nyse:fn" TargetMode="External" Id="rId134"/><Relationship Type="http://schemas.openxmlformats.org/officeDocument/2006/relationships/hyperlink" Target="https://www.tradingview.com/chart/?symbol=nyse:gl" TargetMode="External" Id="rId135"/><Relationship Type="http://schemas.openxmlformats.org/officeDocument/2006/relationships/hyperlink" Target="https://www.tradingview.com/chart/?symbol=nasdaq:txrh" TargetMode="External" Id="rId136"/><Relationship Type="http://schemas.openxmlformats.org/officeDocument/2006/relationships/hyperlink" Target="https://www.tradingview.com/chart/?symbol=nyse:hii" TargetMode="External" Id="rId137"/><Relationship Type="http://schemas.openxmlformats.org/officeDocument/2006/relationships/hyperlink" Target="https://www.tradingview.com/chart/?symbol=nasdaq:lulu" TargetMode="External" Id="rId138"/><Relationship Type="http://schemas.openxmlformats.org/officeDocument/2006/relationships/hyperlink" Target="https://www.tradingview.com/chart/?symbol=nasdaq:cgnx" TargetMode="External" Id="rId139"/><Relationship Type="http://schemas.openxmlformats.org/officeDocument/2006/relationships/hyperlink" Target="https://www.tradingview.com/chart/?symbol=nyse:mod" TargetMode="External" Id="rId140"/><Relationship Type="http://schemas.openxmlformats.org/officeDocument/2006/relationships/hyperlink" Target="https://www.tradingview.com/chart/?symbol=nasdaq:fcfs" TargetMode="External" Id="rId141"/><Relationship Type="http://schemas.openxmlformats.org/officeDocument/2006/relationships/hyperlink" Target="https://www.tradingview.com/chart/?symbol=nyse:voya" TargetMode="External" Id="rId142"/><Relationship Type="http://schemas.openxmlformats.org/officeDocument/2006/relationships/hyperlink" Target="https://www.tradingview.com/chart/?symbol=nasdaq:tgtx" TargetMode="External" Id="rId143"/><Relationship Type="http://schemas.openxmlformats.org/officeDocument/2006/relationships/hyperlink" Target="https://www.tradingview.com/chart/?symbol=nasdaq:chrd" TargetMode="External" Id="rId144"/><Relationship Type="http://schemas.openxmlformats.org/officeDocument/2006/relationships/hyperlink" Target="https://www.tradingview.com/chart/?symbol=nyse:gap" TargetMode="External" Id="rId145"/><Relationship Type="http://schemas.openxmlformats.org/officeDocument/2006/relationships/hyperlink" Target="https://www.tradingview.com/chart/?symbol=nyse:sobo" TargetMode="External" Id="rId146"/><Relationship Type="http://schemas.openxmlformats.org/officeDocument/2006/relationships/hyperlink" Target="https://www.tradingview.com/chart/?symbol=nasdaq:duol" TargetMode="External" Id="rId147"/><Relationship Type="http://schemas.openxmlformats.org/officeDocument/2006/relationships/hyperlink" Target="https://www.tradingview.com/chart/?symbol=nasdaq:urbn" TargetMode="External" Id="rId148"/><Relationship Type="http://schemas.openxmlformats.org/officeDocument/2006/relationships/hyperlink" Target="https://www.tradingview.com/chart/?symbol=nyse:matx" TargetMode="External" Id="rId149"/><Relationship Type="http://schemas.openxmlformats.org/officeDocument/2006/relationships/hyperlink" Target="https://www.tradingview.com/chart/?symbol=nasdaq:ubsi" TargetMode="External" Id="rId150"/><Relationship Type="http://schemas.openxmlformats.org/officeDocument/2006/relationships/hyperlink" Target="https://www.tradingview.com/chart/?symbol=nasdaq:lqda" TargetMode="External" Id="rId151"/><Relationship Type="http://schemas.openxmlformats.org/officeDocument/2006/relationships/hyperlink" Target="https://www.tradingview.com/chart/?symbol=nasdaq:knsa" TargetMode="External" Id="rId152"/><Relationship Type="http://schemas.openxmlformats.org/officeDocument/2006/relationships/hyperlink" Target="https://www.tradingview.com/chart/?symbol=nasdaq:amrx" TargetMode="External" Id="rId153"/><Relationship Type="http://schemas.openxmlformats.org/officeDocument/2006/relationships/hyperlink" Target="https://www.tradingview.com/chart/?symbol=nasdaq:rushb" TargetMode="External" Id="rId154"/><Relationship Type="http://schemas.openxmlformats.org/officeDocument/2006/relationships/hyperlink" Target="https://www.tradingview.com/chart/?symbol=nyse:enva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yse:insw" TargetMode="External" Id="rId157"/><Relationship Type="http://schemas.openxmlformats.org/officeDocument/2006/relationships/hyperlink" Target="https://www.tradingview.com/chart/?symbol=nasdaq:ebc" TargetMode="External" Id="rId158"/><Relationship Type="http://schemas.openxmlformats.org/officeDocument/2006/relationships/hyperlink" Target="https://www.tradingview.com/chart/?symbol=nyse:unf" TargetMode="External" Id="rId159"/><Relationship Type="http://schemas.openxmlformats.org/officeDocument/2006/relationships/hyperlink" Target="https://www.tradingview.com/chart/?symbol=nyse:boot" TargetMode="External" Id="rId160"/><Relationship Type="http://schemas.openxmlformats.org/officeDocument/2006/relationships/hyperlink" Target="https://www.tradingview.com/chart/?symbol=nyse:kfy" TargetMode="External" Id="rId161"/><Relationship Type="http://schemas.openxmlformats.org/officeDocument/2006/relationships/hyperlink" Target="https://www.tradingview.com/chart/?symbol=nasdaq:meoh" TargetMode="External" Id="rId162"/><Relationship Type="http://schemas.openxmlformats.org/officeDocument/2006/relationships/hyperlink" Target="https://www.tradingview.com/chart/?symbol=nyse:fbp" TargetMode="External" Id="rId163"/><Relationship Type="http://schemas.openxmlformats.org/officeDocument/2006/relationships/hyperlink" Target="https://www.tradingview.com/chart/?symbol=nyse:bfh" TargetMode="External" Id="rId164"/><Relationship Type="http://schemas.openxmlformats.org/officeDocument/2006/relationships/hyperlink" Target="https://www.tradingview.com/chart/?symbol=nyse:geo" TargetMode="External" Id="rId165"/><Relationship Type="http://schemas.openxmlformats.org/officeDocument/2006/relationships/hyperlink" Target="https://www.tradingview.com/chart/?symbol=nyse:parr" TargetMode="External" Id="rId166"/><Relationship Type="http://schemas.openxmlformats.org/officeDocument/2006/relationships/hyperlink" Target="https://www.tradingview.com/chart/?symbol=nasdaq:wsfs" TargetMode="External" Id="rId167"/><Relationship Type="http://schemas.openxmlformats.org/officeDocument/2006/relationships/hyperlink" Target="https://www.tradingview.com/chart/?symbol=nyse:cdp" TargetMode="External" Id="rId168"/><Relationship Type="http://schemas.openxmlformats.org/officeDocument/2006/relationships/hyperlink" Target="https://www.tradingview.com/chart/?symbol=nyse:wt" TargetMode="External" Id="rId169"/><Relationship Type="http://schemas.openxmlformats.org/officeDocument/2006/relationships/hyperlink" Target="https://www.tradingview.com/chart/?symbol=nyse:aple" TargetMode="External" Id="rId170"/><Relationship Type="http://schemas.openxmlformats.org/officeDocument/2006/relationships/hyperlink" Target="https://www.tradingview.com/chart/?symbol=nyse:awr" TargetMode="External" Id="rId171"/><Relationship Type="http://schemas.openxmlformats.org/officeDocument/2006/relationships/hyperlink" Target="https://www.tradingview.com/chart/?symbol=nyse:cxw" TargetMode="External" Id="rId172"/><Relationship Type="http://schemas.openxmlformats.org/officeDocument/2006/relationships/hyperlink" Target="https://www.tradingview.com/chart/?symbol=amex:nhc" TargetMode="External" Id="rId173"/><Relationship Type="http://schemas.openxmlformats.org/officeDocument/2006/relationships/hyperlink" Target="https://www.tradingview.com/chart/?symbol=nasdaq:vcyt" TargetMode="External" Id="rId174"/><Relationship Type="http://schemas.openxmlformats.org/officeDocument/2006/relationships/hyperlink" Target="https://www.tradingview.com/chart/?symbol=nyse:pk" TargetMode="External" Id="rId175"/><Relationship Type="http://schemas.openxmlformats.org/officeDocument/2006/relationships/hyperlink" Target="https://www.tradingview.com/chart/?symbol=nyse:hg" TargetMode="External" Id="rId176"/><Relationship Type="http://schemas.openxmlformats.org/officeDocument/2006/relationships/hyperlink" Target="https://www.tradingview.com/chart/?symbol=nyse:aeo" TargetMode="External" Id="rId177"/><Relationship Type="http://schemas.openxmlformats.org/officeDocument/2006/relationships/hyperlink" Target="https://www.tradingview.com/chart/?symbol=nasdaq:slde" TargetMode="External" Id="rId178"/><Relationship Type="http://schemas.openxmlformats.org/officeDocument/2006/relationships/hyperlink" Target="https://www.tradingview.com/chart/?symbol=nyse:wttr" TargetMode="External" Id="rId179"/><Relationship Type="http://schemas.openxmlformats.org/officeDocument/2006/relationships/hyperlink" Target="https://www.tradingview.com/chart/?symbol=nyse:hto" TargetMode="External" Id="rId180"/><Relationship Type="http://schemas.openxmlformats.org/officeDocument/2006/relationships/hyperlink" Target="https://www.tradingview.com/chart/?symbol=nyse:drh" TargetMode="External" Id="rId181"/><Relationship Type="http://schemas.openxmlformats.org/officeDocument/2006/relationships/hyperlink" Target="https://www.tradingview.com/chart/?symbol=nasdaq:nwbi" TargetMode="External" Id="rId182"/><Relationship Type="http://schemas.openxmlformats.org/officeDocument/2006/relationships/hyperlink" Target="https://www.tradingview.com/chart/?symbol=nyse:ofg" TargetMode="External" Id="rId183"/><Relationship Type="http://schemas.openxmlformats.org/officeDocument/2006/relationships/hyperlink" Target="https://www.tradingview.com/chart/?symbol=nasdaq:ufpt" TargetMode="External" Id="rId184"/><Relationship Type="http://schemas.openxmlformats.org/officeDocument/2006/relationships/hyperlink" Target="https://www.tradingview.com/chart/?symbol=nyse:peb" TargetMode="External" Id="rId185"/><Relationship Type="http://schemas.openxmlformats.org/officeDocument/2006/relationships/hyperlink" Target="https://www.tradingview.com/chart/?symbol=nasdaq:karo" TargetMode="External" Id="rId186"/><Relationship Type="http://schemas.openxmlformats.org/officeDocument/2006/relationships/hyperlink" Target="https://www.tradingview.com/chart/?symbol=nasdaq:zd" TargetMode="External" Id="rId187"/><Relationship Type="http://schemas.openxmlformats.org/officeDocument/2006/relationships/hyperlink" Target="https://www.tradingview.com/chart/?symbol=nyse:lob" TargetMode="External" Id="rId188"/><Relationship Type="http://schemas.openxmlformats.org/officeDocument/2006/relationships/hyperlink" Target="https://www.tradingview.com/chart/?symbol=nyse:wkc" TargetMode="External" Id="rId189"/><Relationship Type="http://schemas.openxmlformats.org/officeDocument/2006/relationships/hyperlink" Target="https://www.tradingview.com/chart/?symbol=nyse:cbl" TargetMode="External" Id="rId190"/><Relationship Type="http://schemas.openxmlformats.org/officeDocument/2006/relationships/hyperlink" Target="https://www.tradingview.com/chart/?symbol=nasdaq:amal" TargetMode="External" Id="rId191"/><Relationship Type="http://schemas.openxmlformats.org/officeDocument/2006/relationships/hyperlink" Target="https://www.tradingview.com/chart/?symbol=nyse:rex" TargetMode="External" Id="rId192"/><Relationship Type="http://schemas.openxmlformats.org/officeDocument/2006/relationships/hyperlink" Target="https://www.tradingview.com/chart/?symbol=nasdaq:senea" TargetMode="External" Id="rId193"/><Relationship Type="http://schemas.openxmlformats.org/officeDocument/2006/relationships/hyperlink" Target="https://www.tradingview.com/chart/?symbol=nyse:amn" TargetMode="External" Id="rId194"/><Relationship Type="http://schemas.openxmlformats.org/officeDocument/2006/relationships/hyperlink" Target="https://www.tradingview.com/chart/?symbol=nyse:gnk" TargetMode="External" Id="rId195"/><Relationship Type="http://schemas.openxmlformats.org/officeDocument/2006/relationships/hyperlink" Target="https://www.tradingview.com/chart/?symbol=nasdaq:trst" TargetMode="External" Id="rId196"/><Relationship Type="http://schemas.openxmlformats.org/officeDocument/2006/relationships/hyperlink" Target="https://www.tradingview.com/chart/?symbol=nyse:kfrc" TargetMode="External" Id="rId197"/><Relationship Type="http://schemas.openxmlformats.org/officeDocument/2006/relationships/hyperlink" Target="https://www.tradingview.com/chart/?symbol=nasdaq:ccbg" TargetMode="External" Id="rId198"/><Relationship Type="http://schemas.openxmlformats.org/officeDocument/2006/relationships/hyperlink" Target="https://www.tradingview.com/chart/?symbol=nyse:hshp" TargetMode="External" Id="rId199"/><Relationship Type="http://schemas.openxmlformats.org/officeDocument/2006/relationships/hyperlink" Target="https://www.tradingview.com/chart/?symbol=nasdaq:pgc" TargetMode="External" Id="rId200"/><Relationship Type="http://schemas.openxmlformats.org/officeDocument/2006/relationships/hyperlink" Target="https://www.tradingview.com/chart/?symbol=nyse:max" TargetMode="External" Id="rId201"/><Relationship Type="http://schemas.openxmlformats.org/officeDocument/2006/relationships/hyperlink" Target="https://www.tradingview.com/chart/?symbol=nasdaq:rrbi" TargetMode="External" Id="rId202"/><Relationship Type="http://schemas.openxmlformats.org/officeDocument/2006/relationships/hyperlink" Target="https://www.tradingview.com/chart/?symbol=nyse:pke" TargetMode="External" Id="rId203"/><Relationship Type="http://schemas.openxmlformats.org/officeDocument/2006/relationships/hyperlink" Target="https://www.tradingview.com/chart/?symbol=nyse:cldt" TargetMode="External" Id="rId204"/><Relationship Type="http://schemas.openxmlformats.org/officeDocument/2006/relationships/hyperlink" Target="https://www.tradingview.com/chart/?symbol=nasdaq:intc" TargetMode="External" Id="rId205"/><Relationship Type="http://schemas.openxmlformats.org/officeDocument/2006/relationships/hyperlink" Target="https://www.tradingview.com/chart/?symbol=nasdaq:crwd" TargetMode="External" Id="rId206"/><Relationship Type="http://schemas.openxmlformats.org/officeDocument/2006/relationships/hyperlink" Target="https://www.tradingview.com/chart/?symbol=nasdaq:gild" TargetMode="External" Id="rId207"/><Relationship Type="http://schemas.openxmlformats.org/officeDocument/2006/relationships/hyperlink" Target="https://www.tradingview.com/chart/?symbol=nyse:ba" TargetMode="External" Id="rId208"/><Relationship Type="http://schemas.openxmlformats.org/officeDocument/2006/relationships/hyperlink" Target="https://www.tradingview.com/chart/?symbol=nasdaq:ceg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ddog" TargetMode="External" Id="rId211"/><Relationship Type="http://schemas.openxmlformats.org/officeDocument/2006/relationships/hyperlink" Target="https://www.tradingview.com/chart/?symbol=nasdaq:axon" TargetMode="External" Id="rId212"/><Relationship Type="http://schemas.openxmlformats.org/officeDocument/2006/relationships/hyperlink" Target="https://www.tradingview.com/chart/?symbol=nyse:cnc" TargetMode="External" Id="rId213"/><Relationship Type="http://schemas.openxmlformats.org/officeDocument/2006/relationships/hyperlink" Target="https://www.tradingview.com/chart/?symbol=nasdaq:mdb" TargetMode="External" Id="rId214"/><Relationship Type="http://schemas.openxmlformats.org/officeDocument/2006/relationships/hyperlink" Target="https://www.tradingview.com/chart/?symbol=nyse:iot" TargetMode="External" Id="rId215"/><Relationship Type="http://schemas.openxmlformats.org/officeDocument/2006/relationships/hyperlink" Target="https://www.tradingview.com/chart/?symbol=nyse:dd" TargetMode="External" Id="rId216"/><Relationship Type="http://schemas.openxmlformats.org/officeDocument/2006/relationships/hyperlink" Target="https://www.tradingview.com/chart/?symbol=nasdaq:tln" TargetMode="External" Id="rId217"/><Relationship Type="http://schemas.openxmlformats.org/officeDocument/2006/relationships/hyperlink" Target="https://www.tradingview.com/chart/?symbol=nyse:uhal" TargetMode="External" Id="rId218"/><Relationship Type="http://schemas.openxmlformats.org/officeDocument/2006/relationships/hyperlink" Target="https://www.tradingview.com/chart/?symbol=nasdaq:cort" TargetMode="External" Id="rId219"/><Relationship Type="http://schemas.openxmlformats.org/officeDocument/2006/relationships/hyperlink" Target="https://www.tradingview.com/chart/?symbol=nasdaq:tem" TargetMode="External" Id="rId220"/><Relationship Type="http://schemas.openxmlformats.org/officeDocument/2006/relationships/hyperlink" Target="https://www.tradingview.com/chart/?symbol=nasdaq:vsat" TargetMode="External" Id="rId221"/><Relationship Type="http://schemas.openxmlformats.org/officeDocument/2006/relationships/hyperlink" Target="https://www.tradingview.com/chart/?symbol=nyse:msgs" TargetMode="External" Id="rId222"/><Relationship Type="http://schemas.openxmlformats.org/officeDocument/2006/relationships/hyperlink" Target="https://www.tradingview.com/chart/?symbol=nyse:kmx" TargetMode="External" Id="rId223"/><Relationship Type="http://schemas.openxmlformats.org/officeDocument/2006/relationships/hyperlink" Target="https://www.tradingview.com/chart/?symbol=nasdaq:brkr" TargetMode="External" Id="rId224"/><Relationship Type="http://schemas.openxmlformats.org/officeDocument/2006/relationships/hyperlink" Target="https://www.tradingview.com/chart/?symbol=nyse:pbf" TargetMode="External" Id="rId225"/><Relationship Type="http://schemas.openxmlformats.org/officeDocument/2006/relationships/hyperlink" Target="https://www.tradingview.com/chart/?symbol=nyse:flr" TargetMode="External" Id="rId226"/><Relationship Type="http://schemas.openxmlformats.org/officeDocument/2006/relationships/hyperlink" Target="https://www.tradingview.com/chart/?symbol=nasdaq:axti" TargetMode="External" Id="rId227"/><Relationship Type="http://schemas.openxmlformats.org/officeDocument/2006/relationships/hyperlink" Target="https://www.tradingview.com/chart/?symbol=nasdaq:mndy" TargetMode="External" Id="rId228"/><Relationship Type="http://schemas.openxmlformats.org/officeDocument/2006/relationships/hyperlink" Target="https://www.tradingview.com/chart/?symbol=nasdaq:neo" TargetMode="External" Id="rId229"/><Relationship Type="http://schemas.openxmlformats.org/officeDocument/2006/relationships/hyperlink" Target="https://www.tradingview.com/chart/?symbol=nyse:oln" TargetMode="External" Id="rId230"/><Relationship Type="http://schemas.openxmlformats.org/officeDocument/2006/relationships/hyperlink" Target="https://www.tradingview.com/chart/?symbol=nasdaq:blfs" TargetMode="External" Id="rId231"/><Relationship Type="http://schemas.openxmlformats.org/officeDocument/2006/relationships/hyperlink" Target="https://www.tradingview.com/chart/?symbol=nasdaq:bjri" TargetMode="External" Id="rId232"/><Relationship Type="http://schemas.openxmlformats.org/officeDocument/2006/relationships/hyperlink" Target="https://www.tradingview.com/chart/?symbol=nasdaq:alrs" TargetMode="External" Id="rId233"/><Relationship Type="http://schemas.openxmlformats.org/officeDocument/2006/relationships/hyperlink" Target="https://www.tradingview.com/chart/?symbol=nyse:snow" TargetMode="External" Id="rId234"/><Relationship Type="http://schemas.openxmlformats.org/officeDocument/2006/relationships/hyperlink" Target="https://www.tradingview.com/chart/?symbol=nasdaq:zs" TargetMode="External" Id="rId235"/><Relationship Type="http://schemas.openxmlformats.org/officeDocument/2006/relationships/hyperlink" Target="https://www.tradingview.com/chart/?symbol=nyse:lumn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ova" TargetMode="External" Id="rId238"/><Relationship Type="http://schemas.openxmlformats.org/officeDocument/2006/relationships/hyperlink" Target="https://www.tradingview.com/chart/?symbol=nyse:rcus" TargetMode="External" Id="rId239"/><Relationship Type="http://schemas.openxmlformats.org/officeDocument/2006/relationships/hyperlink" Target="https://www.tradingview.com/chart/?symbol=nasdaq:soun" TargetMode="External" Id="rId240"/><Relationship Type="http://schemas.openxmlformats.org/officeDocument/2006/relationships/hyperlink" Target="https://www.tradingview.com/chart/?symbol=nyse:rdw" TargetMode="External" Id="rId241"/><Relationship Type="http://schemas.openxmlformats.org/officeDocument/2006/relationships/hyperlink" Target="https://www.tradingview.com/chart/?symbol=nyse:oust" TargetMode="External" Id="rId242"/><Relationship Type="http://schemas.openxmlformats.org/officeDocument/2006/relationships/hyperlink" Target="https://www.tradingview.com/chart/?symbol=nyse:ai" TargetMode="External" Id="rId243"/><Relationship Type="http://schemas.openxmlformats.org/officeDocument/2006/relationships/hyperlink" Target="https://www.tradingview.com/chart/?symbol=nasdaq:ango" TargetMode="External" Id="rId244"/><Relationship Type="http://schemas.openxmlformats.org/officeDocument/2006/relationships/hyperlink" Target="https://www.tradingview.com/chart/?symbol=nyse:mrk" TargetMode="External" Id="rId245"/><Relationship Type="http://schemas.openxmlformats.org/officeDocument/2006/relationships/hyperlink" Target="https://www.tradingview.com/chart/?symbol=nasdaq:panw" TargetMode="External" Id="rId246"/><Relationship Type="http://schemas.openxmlformats.org/officeDocument/2006/relationships/hyperlink" Target="https://www.tradingview.com/chart/?symbol=nyse:net" TargetMode="External" Id="rId247"/><Relationship Type="http://schemas.openxmlformats.org/officeDocument/2006/relationships/hyperlink" Target="https://www.tradingview.com/chart/?symbol=nasdaq:nbis" TargetMode="External" Id="rId248"/><Relationship Type="http://schemas.openxmlformats.org/officeDocument/2006/relationships/hyperlink" Target="https://www.tradingview.com/chart/?symbol=nasdaq:mrna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asdaq:crwv" TargetMode="External" Id="rId251"/><Relationship Type="http://schemas.openxmlformats.org/officeDocument/2006/relationships/hyperlink" Target="https://www.tradingview.com/chart/?symbol=nasdaq:coin" TargetMode="External" Id="rId252"/><Relationship Type="http://schemas.openxmlformats.org/officeDocument/2006/relationships/hyperlink" Target="https://www.tradingview.com/chart/?symbol=nasdaq:rvmd" TargetMode="External" Id="rId253"/><Relationship Type="http://schemas.openxmlformats.org/officeDocument/2006/relationships/hyperlink" Target="https://www.tradingview.com/chart/?symbol=nasdaq:iren" TargetMode="External" Id="rId254"/><Relationship Type="http://schemas.openxmlformats.org/officeDocument/2006/relationships/hyperlink" Target="https://www.tradingview.com/chart/?symbol=nasdaq:arwr" TargetMode="External" Id="rId255"/><Relationship Type="http://schemas.openxmlformats.org/officeDocument/2006/relationships/hyperlink" Target="https://www.tradingview.com/chart/?symbol=nasdaq:gsat" TargetMode="External" Id="rId256"/><Relationship Type="http://schemas.openxmlformats.org/officeDocument/2006/relationships/hyperlink" Target="https://www.tradingview.com/chart/?symbol=nasdaq:aaoi" TargetMode="External" Id="rId257"/><Relationship Type="http://schemas.openxmlformats.org/officeDocument/2006/relationships/hyperlink" Target="https://www.tradingview.com/chart/?symbol=nasdaq:syre" TargetMode="External" Id="rId258"/><Relationship Type="http://schemas.openxmlformats.org/officeDocument/2006/relationships/hyperlink" Target="https://www.tradingview.com/chart/?symbol=nasdaq:apld" TargetMode="External" Id="rId259"/><Relationship Type="http://schemas.openxmlformats.org/officeDocument/2006/relationships/hyperlink" Target="https://www.tradingview.com/chart/?symbol=nyse:oklo" TargetMode="External" Id="rId260"/><Relationship Type="http://schemas.openxmlformats.org/officeDocument/2006/relationships/hyperlink" Target="https://www.tradingview.com/chart/?symbol=nasdaq:dnth" TargetMode="External" Id="rId261"/><Relationship Type="http://schemas.openxmlformats.org/officeDocument/2006/relationships/hyperlink" Target="https://www.tradingview.com/chart/?symbol=nasdaq:elvn" TargetMode="External" Id="rId262"/><Relationship Type="http://schemas.openxmlformats.org/officeDocument/2006/relationships/hyperlink" Target="https://www.tradingview.com/chart/?symbol=nasdaq:rlay" TargetMode="External" Id="rId263"/><Relationship Type="http://schemas.openxmlformats.org/officeDocument/2006/relationships/hyperlink" Target="https://www.tradingview.com/chart/?symbol=nasdaq:adpt" TargetMode="External" Id="rId264"/><Relationship Type="http://schemas.openxmlformats.org/officeDocument/2006/relationships/hyperlink" Target="https://www.tradingview.com/chart/?symbol=nasdaq:cldx" TargetMode="External" Id="rId265"/><Relationship Type="http://schemas.openxmlformats.org/officeDocument/2006/relationships/hyperlink" Target="https://www.tradingview.com/chart/?symbol=nasdaq:mbx" TargetMode="External" Id="rId266"/><Relationship Type="http://schemas.openxmlformats.org/officeDocument/2006/relationships/hyperlink" Target="https://www.tradingview.com/chart/?symbol=nasdaq:axgn" TargetMode="External" Id="rId267"/><Relationship Type="http://schemas.openxmlformats.org/officeDocument/2006/relationships/hyperlink" Target="https://www.tradingview.com/chart/?symbol=nasdaq:trvi" TargetMode="External" Id="rId268"/><Relationship Type="http://schemas.openxmlformats.org/officeDocument/2006/relationships/hyperlink" Target="https://www.tradingview.com/chart/?symbol=nasdaq:pvla" TargetMode="External" Id="rId269"/><Relationship Type="http://schemas.openxmlformats.org/officeDocument/2006/relationships/hyperlink" Target="https://www.tradingview.com/chart/?symbol=nasdaq:rapp" TargetMode="External" Id="rId270"/><Relationship Type="http://schemas.openxmlformats.org/officeDocument/2006/relationships/hyperlink" Target="https://www.tradingview.com/chart/?symbol=nyse:bbai" TargetMode="External" Id="rId271"/><Relationship Type="http://schemas.openxmlformats.org/officeDocument/2006/relationships/hyperlink" Target="https://www.tradingview.com/chart/?symbol=nasdaq:cyrx" TargetMode="External" Id="rId272"/><Relationship Type="http://schemas.openxmlformats.org/officeDocument/2006/relationships/hyperlink" Target="https://www.tradingview.com/chart/?symbol=nasdaq:cbio" TargetMode="External" Id="rId273"/><Relationship Type="http://schemas.openxmlformats.org/officeDocument/2006/relationships/hyperlink" Target="https://www.tradingview.com/chart/?symbol=nyse:hmy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Combined Watchlist R14 — 274 隻美股「營收及營利」總表</t>
        </is>
      </c>
    </row>
    <row r="2">
      <c r="A2" s="2" t="inlineStr">
        <is>
          <t>編製 2026-09-07 09:49 HKT｜格式沿用 AI_Growth_Breakeven_Watchlist_R7｜價格基準 2026-09-04 收盤</t>
        </is>
      </c>
    </row>
    <row r="3">
      <c r="A3" s="2" t="inlineStr"/>
    </row>
    <row r="4">
      <c r="A4" s="3" t="inlineStr">
        <is>
          <t>【本表是甚麼】</t>
        </is>
      </c>
    </row>
    <row r="5">
      <c r="A5" s="2" t="inlineStr">
        <is>
          <t>• 對象＝Combined Watchlist R14 的全部 274 隻股票（VCP 167＋Weinstein 167＋Pre-breakout 116，去重後 274）。</t>
        </is>
      </c>
    </row>
    <row r="6">
      <c r="A6" s="2" t="inlineStr">
        <is>
          <t>• 內容＝每隻最近四個季度的營收與營利（淨利／經常／一次），加最新一季的三個利潤率、分析師下季預測、盈利狀態分級。</t>
        </is>
      </c>
    </row>
    <row r="7">
      <c r="A7" s="2" t="inlineStr"/>
    </row>
    <row r="8">
      <c r="A8" s="3" t="inlineStr">
        <is>
          <t>【數據來源與方法】</t>
        </is>
      </c>
    </row>
    <row r="9">
      <c r="A9" s="2" t="inlineStr">
        <is>
          <t>• 全部財務數字取自 Yahoo Finance 的季度損益表（income statement）原始項目，由 GitHub Actions runner 以 yfinance 拉取後提交至</t>
        </is>
      </c>
    </row>
    <row r="10">
      <c r="A10" s="2" t="inlineStr">
        <is>
          <t xml:space="preserve">  data/yahoo/fundamentals_2026-09-06.json.gz（研究容器的 egress proxy 封鎖 Yahoo，故與 R14 價格數據同樣改由 runner 抓取）。</t>
        </is>
      </c>
    </row>
    <row r="11">
      <c r="A11" s="2" t="inlineStr">
        <is>
          <t>• 單位一律「百萬」，幣別看【幣別】欄（financialCurrency）— 外國發行人／ADR 的財報幣別未必是美元。</t>
        </is>
      </c>
    </row>
    <row r="12">
      <c r="A12" s="2" t="inlineStr">
        <is>
          <t>• 季度以財報期末日期標示（【季度對照】欄），非日曆季 — 各公司財政年度不同，比較前請先看該欄。</t>
        </is>
      </c>
    </row>
    <row r="13">
      <c r="A13" s="2" t="inlineStr"/>
    </row>
    <row r="14">
      <c r="A14" s="3" t="inlineStr">
        <is>
          <t>【營利三行的定義 — 沿用 R7】</t>
        </is>
      </c>
    </row>
    <row r="15">
      <c r="A15" s="2" t="inlineStr">
        <is>
          <t>• 淨利 = Net Income Common Stockholders（GAAP 帳面）。</t>
        </is>
      </c>
    </row>
    <row r="16">
      <c r="A16" s="2" t="inlineStr">
        <is>
          <t>• 經常 = Operating Income（營運利潤，即 R7 的「可持續部分」）。</t>
        </is>
      </c>
    </row>
    <row r="17">
      <c r="A17" s="2" t="inlineStr">
        <is>
          <t>• 經常* = 該公司 Yahoo 不提供營運利潤（銀行／保險／部分 REIT），改以「稅前利潤 − 一次性項目」代替，已用星號標示。</t>
        </is>
      </c>
    </row>
    <row r="18">
      <c r="A18" s="2" t="inlineStr">
        <is>
          <t>• 一次 = Total Unusual Items 扣除 Tax Effect Of Unusual Items（稅後一次性項目）。金額小於營收 1% 者標「無重大」。</t>
        </is>
      </c>
    </row>
    <row r="19">
      <c r="A19" s="2" t="inlineStr">
        <is>
          <t>• ⚠ 與 R7 的重要分別：R7 的 42 隻是逐隻人手查證財報原文與新聞後拆解一次性項目；本表 274 隻是機器抽取 Yahoo 的</t>
        </is>
      </c>
    </row>
    <row r="20">
      <c r="A20" s="2" t="inlineStr">
        <is>
          <t xml:space="preserve">  Unusual Items 欄位，只能捕捉「公司自己在損益表分類為非經常」的項目（減值、重組、訴訟和解、資產出售等）。</t>
        </is>
      </c>
    </row>
    <row r="21">
      <c r="A21" s="2" t="inlineStr">
        <is>
          <t xml:space="preserve">  股權酬勞（SBC）、公允值重估、匯兌等仍計在經常內；要達到 R7 的拆解深度必須逐隻人手核實。</t>
        </is>
      </c>
    </row>
    <row r="22">
      <c r="A22" s="2" t="inlineStr"/>
    </row>
    <row r="23">
      <c r="A23" s="3" t="inlineStr">
        <is>
          <t>【分級規則（機械判定，非人手核實）】</t>
        </is>
      </c>
    </row>
    <row r="24">
      <c r="A24" s="2" t="inlineStr">
        <is>
          <t>• A（204 隻）四季營運利潤皆為正，且最新季淨利為正 — 經常性已盈利。</t>
        </is>
      </c>
    </row>
    <row r="25">
      <c r="A25" s="2" t="inlineStr">
        <is>
          <t>• B（29 隻）最新季已盈利，但四季未全正，或淨利與營運方向不一致（靠營運外項目／被利息拖累）。</t>
        </is>
      </c>
    </row>
    <row r="26">
      <c r="A26" s="2" t="inlineStr">
        <is>
          <t>• C（11 隻）最新季營運仍虧損，但較 Q-3 收窄。</t>
        </is>
      </c>
    </row>
    <row r="27">
      <c r="A27" s="2" t="inlineStr">
        <is>
          <t>• D（29 隻）營運仍虧損且未見收窄。</t>
        </is>
      </c>
    </row>
    <row r="28">
      <c r="A28" s="2" t="inlineStr">
        <is>
          <t>• —（1 隻）Yahoo 無足夠季度損益表數據（多為外國發行人或半年度披露者）。</t>
        </is>
      </c>
    </row>
    <row r="29">
      <c r="A29" s="2" t="inlineStr"/>
    </row>
    <row r="30">
      <c r="A30" s="3" t="inlineStr">
        <is>
          <t>【分頁】</t>
        </is>
      </c>
    </row>
    <row r="31">
      <c r="A31" s="2" t="inlineStr">
        <is>
          <t>• 營收營利表：主表，274 隻，按級別 A→D、再按市值排序；欄標題可篩選、可排序。</t>
        </is>
      </c>
    </row>
    <row r="32">
      <c r="A32" s="2" t="inlineStr">
        <is>
          <t>• 一次性項目：最新一季一次性項目金額達營收 2% 或 5,000 萬以上者，按絕對金額排序。</t>
        </is>
      </c>
    </row>
    <row r="33">
      <c r="A33" s="2" t="inlineStr">
        <is>
          <t>• 軌跡排隊：按四季營運利潤方向分組（四季皆正／由虧轉正／由正轉虧／虧損收窄／虧損擴大）。</t>
        </is>
      </c>
    </row>
    <row r="34">
      <c r="A34" s="2" t="inlineStr">
        <is>
          <t>• 分級彙總：各級數量（COUNTIF 連動主表）與代號一覽。</t>
        </is>
      </c>
    </row>
    <row r="35">
      <c r="A35" s="2" t="inlineStr">
        <is>
          <t>• 圖表連結：274 隻 TradingView 連結，與 Combined Watchlist 同一 layout。</t>
        </is>
      </c>
    </row>
    <row r="36">
      <c r="A36" s="2" t="inlineStr"/>
    </row>
    <row r="37">
      <c r="A37" s="2" t="inlineStr">
        <is>
          <t>【免責】本表為公開資料整理與研究參考，非投資建議。財務數據以各公司正式公告為準；Yahoo 的損益表分類偶有錯漏，</t>
        </is>
      </c>
    </row>
    <row r="38">
      <c r="A38" s="2" t="inlineStr">
        <is>
          <t xml:space="preserve">  下判斷前請以公司財報原文覆核。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3" customWidth="1" min="4" max="4"/>
    <col width="22" customWidth="1" min="5" max="5"/>
    <col width="9" customWidth="1" min="6" max="6"/>
    <col width="7" customWidth="1" min="7" max="7"/>
    <col width="25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3" customWidth="1" min="14" max="14"/>
    <col width="17" customWidth="1" min="15" max="15"/>
    <col width="17" customWidth="1" min="16" max="16"/>
    <col width="17" customWidth="1" min="17" max="17"/>
    <col width="17" customWidth="1" min="18" max="18"/>
    <col width="12" customWidth="1" min="19" max="19"/>
    <col width="10" customWidth="1" min="20" max="20"/>
    <col width="10" customWidth="1" min="21" max="21"/>
    <col width="10" customWidth="1" min="22" max="22"/>
    <col width="26" customWidth="1" min="23" max="23"/>
    <col width="34" customWidth="1" min="24" max="24"/>
    <col width="30" customWidth="1" min="25" max="25"/>
    <col width="5" customWidth="1" min="26" max="26"/>
    <col width="14" customWidth="1" min="27" max="27"/>
  </cols>
  <sheetData>
    <row r="1" ht="51.75" customHeight="1">
      <c r="A1" s="4" t="inlineStr">
        <is>
          <t>#</t>
        </is>
      </c>
      <c r="B1" s="4" t="inlineStr">
        <is>
          <t>美股 Ticker
(按=開圖)</t>
        </is>
      </c>
      <c r="C1" s="4" t="inlineStr">
        <is>
          <t>公司</t>
        </is>
      </c>
      <c r="D1" s="4" t="inlineStr">
        <is>
          <t>板塊</t>
        </is>
      </c>
      <c r="E1" s="4" t="inlineStr">
        <is>
          <t>行業</t>
        </is>
      </c>
      <c r="F1" s="4" t="inlineStr">
        <is>
          <t>市值
(十億美元)</t>
        </is>
      </c>
      <c r="G1" s="4" t="inlineStr">
        <is>
          <t>幣別</t>
        </is>
      </c>
      <c r="H1" s="4" t="inlineStr">
        <is>
          <t>季度對照 (Q-3 → Q0)
財報期末日</t>
        </is>
      </c>
      <c r="I1" s="4" t="inlineStr">
        <is>
          <t>營收 Q-3
(百萬)</t>
        </is>
      </c>
      <c r="J1" s="4" t="inlineStr">
        <is>
          <t>營收 Q-2
(百萬)</t>
        </is>
      </c>
      <c r="K1" s="4" t="inlineStr">
        <is>
          <t>營收 Q-1
(百萬)</t>
        </is>
      </c>
      <c r="L1" s="4" t="inlineStr">
        <is>
          <t>營收 Q0 最新
(百萬)</t>
        </is>
      </c>
      <c r="M1" s="4" t="inlineStr">
        <is>
          <t>營收按年
Q0 vs 去年同期 %</t>
        </is>
      </c>
      <c r="N1" s="4" t="inlineStr">
        <is>
          <t>下季營收預測
(百萬・分析師平均)</t>
        </is>
      </c>
      <c r="O1" s="4" t="inlineStr">
        <is>
          <t>營利 Q-3
淨利｜經常｜一次</t>
        </is>
      </c>
      <c r="P1" s="4" t="inlineStr">
        <is>
          <t>營利 Q-2
淨利｜經常｜一次</t>
        </is>
      </c>
      <c r="Q1" s="4" t="inlineStr">
        <is>
          <t>營利 Q-1
淨利｜經常｜一次</t>
        </is>
      </c>
      <c r="R1" s="4" t="inlineStr">
        <is>
          <t>營利 Q0 (最新)
淨利｜經常｜一次</t>
        </is>
      </c>
      <c r="S1" s="4" t="inlineStr">
        <is>
          <t>下季 EPS 預測
(分析師平均)</t>
        </is>
      </c>
      <c r="T1" s="4" t="inlineStr">
        <is>
          <t>營業利潤率
Q0 %</t>
        </is>
      </c>
      <c r="U1" s="4" t="inlineStr">
        <is>
          <t>淨利率
Q0 %</t>
        </is>
      </c>
      <c r="V1" s="4" t="inlineStr">
        <is>
          <t>毛利率
Q0 %</t>
        </is>
      </c>
      <c r="W1" s="4" t="inlineStr">
        <is>
          <t>【一次性項目】
Q0 金額・佔營收</t>
        </is>
      </c>
      <c r="X1" s="4" t="inlineStr">
        <is>
          <t>【經常性軌跡】
四季營運利潤 Q-3→Q0 (百萬)</t>
        </is>
      </c>
      <c r="Y1" s="4" t="inlineStr">
        <is>
          <t>判斷結論 (盈利狀態)</t>
        </is>
      </c>
      <c r="Z1" s="4" t="inlineStr">
        <is>
          <t>級</t>
        </is>
      </c>
      <c r="AA1" s="4" t="inlineStr">
        <is>
          <t>資料截至
(最新季 / 下次財報)</t>
        </is>
      </c>
    </row>
    <row r="2" ht="46" customHeight="1">
      <c r="A2" s="5" t="n">
        <v>1</v>
      </c>
      <c r="B2" s="6" t="inlineStr">
        <is>
          <t>NVDA</t>
        </is>
      </c>
      <c r="C2" s="7" t="inlineStr">
        <is>
          <t>NVIDIA Corporation</t>
        </is>
      </c>
      <c r="D2" s="7" t="inlineStr">
        <is>
          <t>Technology</t>
        </is>
      </c>
      <c r="E2" s="7" t="inlineStr">
        <is>
          <t>Semiconductors</t>
        </is>
      </c>
      <c r="F2" s="8" t="n">
        <v>5551.676000000001</v>
      </c>
      <c r="G2" s="5" t="inlineStr">
        <is>
          <t>USD</t>
        </is>
      </c>
      <c r="H2" s="7" t="inlineStr">
        <is>
          <t>2025-10-31 / 2026-01-31 / 2026-04-30 / 2026-07-31</t>
        </is>
      </c>
      <c r="I2" s="8" t="n">
        <v>57006</v>
      </c>
      <c r="J2" s="8" t="n">
        <v>68127</v>
      </c>
      <c r="K2" s="8" t="n">
        <v>81615</v>
      </c>
      <c r="L2" s="8" t="n">
        <v>96221</v>
      </c>
      <c r="M2" s="9" t="n">
        <v>105.8511434867253</v>
      </c>
      <c r="N2" s="8" t="n">
        <v>124305.77118</v>
      </c>
      <c r="O2" s="10" t="inlineStr">
        <is>
          <t>淨利 +$31.91B
經常 +$36.01B
一次: 無重大</t>
        </is>
      </c>
      <c r="P2" s="10" t="inlineStr">
        <is>
          <t>淨利 +$42.96B
經常 +$44.30B
一次: 無重大</t>
        </is>
      </c>
      <c r="Q2" s="10" t="inlineStr">
        <is>
          <t>淨利 +$58.32B
經常 +$53.54B
一次: 無重大</t>
        </is>
      </c>
      <c r="R2" s="10" t="inlineStr">
        <is>
          <t>淨利 +$59.69B
經常 +$63.73B
一次: +$6.49B（營收 7%）</t>
        </is>
      </c>
      <c r="S2" s="11" t="n">
        <v>2.74567</v>
      </c>
      <c r="T2" s="9" t="n">
        <v>66.23710000935347</v>
      </c>
      <c r="U2" s="9" t="n">
        <v>62.03219671381507</v>
      </c>
      <c r="V2" s="9" t="n">
        <v>74.97531723844068</v>
      </c>
      <c r="W2" s="10" t="inlineStr">
        <is>
          <t>+$6.49B・營收 6.7%</t>
        </is>
      </c>
      <c r="X2" s="10" t="inlineStr">
        <is>
          <t>四季皆正：+36,010 → +44,299 → +53,536 → +63,734（百萬）</t>
        </is>
      </c>
      <c r="Y2" s="10" t="inlineStr">
        <is>
          <t>四季營運皆正、最新季淨利為正 — 經常性已盈利</t>
        </is>
      </c>
      <c r="Z2" s="12" t="inlineStr">
        <is>
          <t>A</t>
        </is>
      </c>
      <c r="AA2" s="7" t="inlineStr">
        <is>
          <t>2026-07-31 / 2026-11-17</t>
        </is>
      </c>
    </row>
    <row r="3" ht="46" customHeight="1">
      <c r="A3" s="5" t="n">
        <v>2</v>
      </c>
      <c r="B3" s="6" t="inlineStr">
        <is>
          <t>GOOGL</t>
        </is>
      </c>
      <c r="C3" s="7" t="inlineStr">
        <is>
          <t>Alphabet Inc.</t>
        </is>
      </c>
      <c r="D3" s="7" t="inlineStr">
        <is>
          <t>Technology</t>
        </is>
      </c>
      <c r="E3" s="7" t="inlineStr">
        <is>
          <t>Internet Content &amp; Information</t>
        </is>
      </c>
      <c r="F3" s="8" t="n">
        <v>4139.3658</v>
      </c>
      <c r="G3" s="5" t="inlineStr">
        <is>
          <t>USD</t>
        </is>
      </c>
      <c r="H3" s="7" t="inlineStr">
        <is>
          <t>2025-09-30 / 2025-12-31 / 2026-03-31 / 2026-06-30</t>
        </is>
      </c>
      <c r="I3" s="8" t="n">
        <v>102346</v>
      </c>
      <c r="J3" s="8" t="n">
        <v>113829</v>
      </c>
      <c r="K3" s="8" t="n">
        <v>109896</v>
      </c>
      <c r="L3" s="8" t="n">
        <v>119796</v>
      </c>
      <c r="M3" s="9" t="n">
        <v>24.23362508814868</v>
      </c>
      <c r="N3" s="8" t="n">
        <v>141094.30853</v>
      </c>
      <c r="O3" s="10" t="inlineStr">
        <is>
          <t>淨利 +$34.98B
經常 +$31.23B
一次: +$8.52B（營收 8%）</t>
        </is>
      </c>
      <c r="P3" s="10" t="inlineStr">
        <is>
          <t>淨利 +$34.45B
經常 +$35.93B
一次: +$2.02B（營收 2%）</t>
        </is>
      </c>
      <c r="Q3" s="10" t="inlineStr">
        <is>
          <t>淨利 +$62.58B
經常 +$39.70B
一次: +$29.87B（營收 27%）</t>
        </is>
      </c>
      <c r="R3" s="10" t="inlineStr">
        <is>
          <t>淨利 +$112.11B
經常 +$40.77B
一次: +$79.96B（營收 67%）</t>
        </is>
      </c>
      <c r="S3" s="11" t="n">
        <v>3.33268</v>
      </c>
      <c r="T3" s="9" t="n">
        <v>34.03285585495342</v>
      </c>
      <c r="U3" s="9" t="n">
        <v>93.58158870079134</v>
      </c>
      <c r="V3" s="9" t="n">
        <v>61.64896991552305</v>
      </c>
      <c r="W3" s="10" t="inlineStr">
        <is>
          <t>+$79.96B・營收 66.7%</t>
        </is>
      </c>
      <c r="X3" s="10" t="inlineStr">
        <is>
          <t>四季皆正：+31,228 → +35,934 → +39,696 → +40,770（百萬）</t>
        </is>
      </c>
      <c r="Y3" s="10" t="inlineStr">
        <is>
          <t>四季營運皆正、最新季淨利為正 — 經常性已盈利</t>
        </is>
      </c>
      <c r="Z3" s="12" t="inlineStr">
        <is>
          <t>A</t>
        </is>
      </c>
      <c r="AA3" s="7" t="inlineStr">
        <is>
          <t>2026-06-30 / 2026-10-28</t>
        </is>
      </c>
    </row>
    <row r="4" ht="46" customHeight="1">
      <c r="A4" s="5" t="n">
        <v>3</v>
      </c>
      <c r="B4" s="6" t="inlineStr">
        <is>
          <t>MSFT</t>
        </is>
      </c>
      <c r="C4" s="7" t="inlineStr">
        <is>
          <t>Microsoft Corporation</t>
        </is>
      </c>
      <c r="D4" s="7" t="inlineStr">
        <is>
          <t>Technology</t>
        </is>
      </c>
      <c r="E4" s="7" t="inlineStr">
        <is>
          <t>Software - Infrastructure</t>
        </is>
      </c>
      <c r="F4" s="8" t="n">
        <v>3710.545081853186</v>
      </c>
      <c r="G4" s="5" t="inlineStr">
        <is>
          <t>USD</t>
        </is>
      </c>
      <c r="H4" s="7" t="inlineStr">
        <is>
          <t>2025-09-30 / 2025-12-31 / 2026-03-31 / 2026-06-30</t>
        </is>
      </c>
      <c r="I4" s="8" t="n">
        <v>77673</v>
      </c>
      <c r="J4" s="8" t="n">
        <v>81273</v>
      </c>
      <c r="K4" s="8" t="n">
        <v>82886</v>
      </c>
      <c r="L4" s="8" t="n">
        <v>90007</v>
      </c>
      <c r="M4" s="9" t="n">
        <v>17.74702057796209</v>
      </c>
      <c r="N4" s="8" t="n">
        <v>95533.75661</v>
      </c>
      <c r="O4" s="10" t="inlineStr">
        <is>
          <t>淨利 +$27.75B
經常 +$37.96B
一次: +$797.9M（營收 1%）</t>
        </is>
      </c>
      <c r="P4" s="10" t="inlineStr">
        <is>
          <t>淨利 +$38.46B
經常 +$38.27B
一次: 無重大</t>
        </is>
      </c>
      <c r="Q4" s="10" t="inlineStr">
        <is>
          <t>淨利 +$31.78B
經常 +$38.40B
一次: +$1.20B（營收 1%）</t>
        </is>
      </c>
      <c r="R4" s="10" t="inlineStr">
        <is>
          <t>淨利 +$35.77B
經常 +$40.60B
一次: +$2.38B（營收 3%）</t>
        </is>
      </c>
      <c r="S4" s="11" t="n">
        <v>4.82878</v>
      </c>
      <c r="T4" s="9" t="n">
        <v>45.11093581610319</v>
      </c>
      <c r="U4" s="9" t="n">
        <v>39.73690935149488</v>
      </c>
      <c r="V4" s="9" t="n">
        <v>67.1969957892164</v>
      </c>
      <c r="W4" s="10" t="inlineStr">
        <is>
          <t>+$2.38B・營收 2.6%</t>
        </is>
      </c>
      <c r="X4" s="10" t="inlineStr">
        <is>
          <t>四季皆正：+37,961 → +38,275 → +38,398 → +40,603（百萬）</t>
        </is>
      </c>
      <c r="Y4" s="10" t="inlineStr">
        <is>
          <t>四季營運皆正、最新季淨利為正 — 經常性已盈利</t>
        </is>
      </c>
      <c r="Z4" s="12" t="inlineStr">
        <is>
          <t>A</t>
        </is>
      </c>
      <c r="AA4" s="7" t="inlineStr">
        <is>
          <t>2026-06-30 / 2026-10-28</t>
        </is>
      </c>
    </row>
    <row r="5" ht="46" customHeight="1">
      <c r="A5" s="5" t="n">
        <v>4</v>
      </c>
      <c r="B5" s="6" t="inlineStr">
        <is>
          <t>AMZN</t>
        </is>
      </c>
      <c r="C5" s="7" t="inlineStr">
        <is>
          <t>Amazon.com, Inc.</t>
        </is>
      </c>
      <c r="D5" s="7" t="inlineStr">
        <is>
          <t>Consumer Discretionary</t>
        </is>
      </c>
      <c r="E5" s="7" t="inlineStr">
        <is>
          <t>Internet Retail</t>
        </is>
      </c>
      <c r="F5" s="8" t="n">
        <v>2788.369921497279</v>
      </c>
      <c r="G5" s="5" t="inlineStr">
        <is>
          <t>USD</t>
        </is>
      </c>
      <c r="H5" s="7" t="inlineStr">
        <is>
          <t>2025-06-30 / 2025-09-30 / 2025-12-31 / 2026-03-31</t>
        </is>
      </c>
      <c r="I5" s="8" t="n">
        <v>167702</v>
      </c>
      <c r="J5" s="8" t="n">
        <v>180169</v>
      </c>
      <c r="K5" s="8" t="n">
        <v>213386</v>
      </c>
      <c r="L5" s="8" t="n">
        <v>181519</v>
      </c>
      <c r="M5" s="9" t="n">
        <v>16.60724495236627</v>
      </c>
      <c r="N5" s="8" t="n">
        <v>243950.67089</v>
      </c>
      <c r="O5" s="10" t="inlineStr">
        <is>
          <t>淨利 +$18.16B
經常 +$19.17B
一次: 無重大</t>
        </is>
      </c>
      <c r="P5" s="10" t="inlineStr">
        <is>
          <t>淨利 +$21.19B
經常 +$17.42B
一次: +$7.69B（營收 4%）</t>
        </is>
      </c>
      <c r="Q5" s="10" t="inlineStr">
        <is>
          <t>淨利 +$21.19B
經常 +$24.98B
一次: 無重大</t>
        </is>
      </c>
      <c r="R5" s="10" t="inlineStr">
        <is>
          <t>淨利 +$30.25B
經常 +$23.85B
一次: +$11.92B（營收 7%）</t>
        </is>
      </c>
      <c r="S5" s="11" t="n">
        <v>2.44269</v>
      </c>
      <c r="T5" s="9" t="n">
        <v>13.14022223568882</v>
      </c>
      <c r="U5" s="9" t="n">
        <v>16.66767666194723</v>
      </c>
      <c r="V5" s="9" t="n">
        <v>51.81606333221316</v>
      </c>
      <c r="W5" s="10" t="inlineStr">
        <is>
          <t>+$11.92B・營收 6.6%</t>
        </is>
      </c>
      <c r="X5" s="10" t="inlineStr">
        <is>
          <t>四季皆正：+19,171 → +17,422 → +24,977 → +23,852（百萬）</t>
        </is>
      </c>
      <c r="Y5" s="10" t="inlineStr">
        <is>
          <t>四季營運皆正、最新季淨利為正 — 經常性已盈利</t>
        </is>
      </c>
      <c r="Z5" s="12" t="inlineStr">
        <is>
          <t>A</t>
        </is>
      </c>
      <c r="AA5" s="7" t="inlineStr">
        <is>
          <t>2026-03-31 / 2026-10-29</t>
        </is>
      </c>
    </row>
    <row r="6" ht="46" customHeight="1">
      <c r="A6" s="5" t="n">
        <v>5</v>
      </c>
      <c r="B6" s="6" t="inlineStr">
        <is>
          <t>TSM</t>
        </is>
      </c>
      <c r="C6" s="7" t="inlineStr">
        <is>
          <t>Taiwan Semiconductor Manufacturing Company Limited</t>
        </is>
      </c>
      <c r="D6" s="7" t="inlineStr">
        <is>
          <t>Technology</t>
        </is>
      </c>
      <c r="E6" s="7" t="inlineStr">
        <is>
          <t>Semiconductors</t>
        </is>
      </c>
      <c r="F6" s="8" t="n">
        <v>2224.54381837452</v>
      </c>
      <c r="G6" s="5" t="inlineStr">
        <is>
          <t>TWD</t>
        </is>
      </c>
      <c r="H6" s="7" t="inlineStr">
        <is>
          <t>2025-09-30 / 2025-12-31 / 2026-03-31 / 2026-06-30</t>
        </is>
      </c>
      <c r="I6" s="8" t="n">
        <v>989918.318</v>
      </c>
      <c r="J6" s="8" t="n">
        <v>1046090.449</v>
      </c>
      <c r="K6" s="8" t="n">
        <v>1134103.44</v>
      </c>
      <c r="L6" s="8" t="n">
        <v>1270380.25</v>
      </c>
      <c r="M6" s="9" t="n">
        <v>36.04533217455121</v>
      </c>
      <c r="N6" s="8" t="n">
        <v>1604729.59755</v>
      </c>
      <c r="O6" s="10" t="inlineStr">
        <is>
          <t>淨利 +NT$452.30B
經常 +NT$500.69B
一次: 無重大</t>
        </is>
      </c>
      <c r="P6" s="10" t="inlineStr">
        <is>
          <t>淨利 +NT$485.47B
經常 +NT$564.88B
一次: 無重大</t>
        </is>
      </c>
      <c r="Q6" s="10" t="inlineStr">
        <is>
          <t>淨利 +NT$572.48B
經常 +NT$658.95B
一次: 無重大</t>
        </is>
      </c>
      <c r="R6" s="10" t="inlineStr">
        <is>
          <t>淨利 +NT$706.56B
經常 +NT$766.57B
一次: +NT$53.44B（營收 4%）</t>
        </is>
      </c>
      <c r="S6" s="11" t="n">
        <v>4.95689</v>
      </c>
      <c r="T6" s="9" t="n">
        <v>60.34163322359585</v>
      </c>
      <c r="U6" s="9" t="n">
        <v>55.61814566937734</v>
      </c>
      <c r="V6" s="9" t="n">
        <v>67.72072338183783</v>
      </c>
      <c r="W6" s="10" t="inlineStr">
        <is>
          <t>+NT$53.44B・營收 4.2%</t>
        </is>
      </c>
      <c r="X6" s="10" t="inlineStr">
        <is>
          <t>四季皆正：+500,685 → +564,881 → +658,949 → +766,568（百萬）</t>
        </is>
      </c>
      <c r="Y6" s="10" t="inlineStr">
        <is>
          <t>四季營運皆正、最新季淨利為正 — 經常性已盈利</t>
        </is>
      </c>
      <c r="Z6" s="12" t="inlineStr">
        <is>
          <t>A</t>
        </is>
      </c>
      <c r="AA6" s="7" t="inlineStr">
        <is>
          <t>2026-06-30 / 2026-10-15</t>
        </is>
      </c>
    </row>
    <row r="7" ht="46" customHeight="1">
      <c r="A7" s="5" t="n">
        <v>6</v>
      </c>
      <c r="B7" s="6" t="inlineStr">
        <is>
          <t>AVGO</t>
        </is>
      </c>
      <c r="C7" s="7" t="inlineStr">
        <is>
          <t>Broadcom Inc.</t>
        </is>
      </c>
      <c r="D7" s="7" t="inlineStr">
        <is>
          <t>Technology</t>
        </is>
      </c>
      <c r="E7" s="7" t="inlineStr">
        <is>
          <t>Semiconductors</t>
        </is>
      </c>
      <c r="F7" s="8" t="n">
        <v>1702.737952864641</v>
      </c>
      <c r="G7" s="5" t="inlineStr">
        <is>
          <t>USD</t>
        </is>
      </c>
      <c r="H7" s="7" t="inlineStr">
        <is>
          <t>2025-07-31 / 2025-10-31 / 2026-01-31 / 2026-04-30</t>
        </is>
      </c>
      <c r="I7" s="8" t="n">
        <v>15952</v>
      </c>
      <c r="J7" s="8" t="n">
        <v>18015</v>
      </c>
      <c r="K7" s="8" t="n">
        <v>19311</v>
      </c>
      <c r="L7" s="8" t="n">
        <v>22187</v>
      </c>
      <c r="M7" s="9" t="n">
        <v>47.87390029325513</v>
      </c>
      <c r="N7" s="8" t="n">
        <v>36908.48809</v>
      </c>
      <c r="O7" s="10" t="inlineStr">
        <is>
          <t>淨利 +$4.14B
經常 +$6.07B
一次: 無重大</t>
        </is>
      </c>
      <c r="P7" s="10" t="inlineStr">
        <is>
          <t>淨利 +$8.52B
經常 +$7.65B
一次: 無重大</t>
        </is>
      </c>
      <c r="Q7" s="10" t="inlineStr">
        <is>
          <t>淨利 +$7.35B
經常 +$8.67B
一次: 無重大</t>
        </is>
      </c>
      <c r="R7" s="10" t="inlineStr">
        <is>
          <t>淨利 +$9.31B
經常 +$10.86B
一次: 無重大</t>
        </is>
      </c>
      <c r="S7" s="11" t="n">
        <v>4.06907</v>
      </c>
      <c r="T7" s="9" t="n">
        <v>48.94307477351602</v>
      </c>
      <c r="U7" s="9" t="n">
        <v>41.96150899175193</v>
      </c>
      <c r="V7" s="9" t="n">
        <v>69.47762203091901</v>
      </c>
      <c r="W7" s="10" t="inlineStr">
        <is>
          <t>無重大</t>
        </is>
      </c>
      <c r="X7" s="10" t="inlineStr">
        <is>
          <t>四季皆正：+6,074 → +7,654 → +8,666 → +10,859（百萬）</t>
        </is>
      </c>
      <c r="Y7" s="10" t="inlineStr">
        <is>
          <t>四季營運皆正、最新季淨利為正 — 經常性已盈利</t>
        </is>
      </c>
      <c r="Z7" s="12" t="inlineStr">
        <is>
          <t>A</t>
        </is>
      </c>
      <c r="AA7" s="7" t="inlineStr">
        <is>
          <t>2026-04-30 / 2026-09-02</t>
        </is>
      </c>
    </row>
    <row r="8" ht="46" customHeight="1">
      <c r="A8" s="5" t="n">
        <v>7</v>
      </c>
      <c r="B8" s="6" t="inlineStr">
        <is>
          <t>META</t>
        </is>
      </c>
      <c r="C8" s="7" t="inlineStr">
        <is>
          <t>Meta Platforms, Inc.</t>
        </is>
      </c>
      <c r="D8" s="7" t="inlineStr">
        <is>
          <t>Technology</t>
        </is>
      </c>
      <c r="E8" s="7" t="inlineStr">
        <is>
          <t>Internet Content &amp; Information</t>
        </is>
      </c>
      <c r="F8" s="8" t="n">
        <v>1571.225414393756</v>
      </c>
      <c r="G8" s="5" t="inlineStr">
        <is>
          <t>USD</t>
        </is>
      </c>
      <c r="H8" s="7" t="inlineStr">
        <is>
          <t>2025-09-30 / 2025-12-31 / 2026-03-31 / 2026-06-30</t>
        </is>
      </c>
      <c r="I8" s="8" t="n">
        <v>51242</v>
      </c>
      <c r="J8" s="8" t="n">
        <v>59893</v>
      </c>
      <c r="K8" s="8" t="n">
        <v>56311</v>
      </c>
      <c r="L8" s="8" t="n">
        <v>60801</v>
      </c>
      <c r="M8" s="9" t="n">
        <v>27.95900328310463</v>
      </c>
      <c r="N8" s="8" t="n">
        <v>73661.28324999999</v>
      </c>
      <c r="O8" s="10" t="inlineStr">
        <is>
          <t>淨利 +$2.71B
經常 +$20.54B
一次: 無重大</t>
        </is>
      </c>
      <c r="P8" s="10" t="inlineStr">
        <is>
          <t>淨利 +$22.77B
經常 +$24.75B
一次: 無重大</t>
        </is>
      </c>
      <c r="Q8" s="10" t="inlineStr">
        <is>
          <t>淨利 +$26.77B
經常 +$22.87B
一次: -$781.2M（營收 1%）</t>
        </is>
      </c>
      <c r="R8" s="10" t="inlineStr">
        <is>
          <t>淨利 +$15.85B
經常 +$18.77B
一次: 無重大</t>
        </is>
      </c>
      <c r="S8" s="11" t="n">
        <v>8.22325</v>
      </c>
      <c r="T8" s="9" t="n">
        <v>30.87942632522491</v>
      </c>
      <c r="U8" s="9" t="n">
        <v>26.06536076709265</v>
      </c>
      <c r="V8" s="9" t="n">
        <v>81.36543806845282</v>
      </c>
      <c r="W8" s="10" t="inlineStr">
        <is>
          <t>無重大</t>
        </is>
      </c>
      <c r="X8" s="10" t="inlineStr">
        <is>
          <t>四季皆正：+20,535 → +24,745 → +22,872 → +18,775（百萬）</t>
        </is>
      </c>
      <c r="Y8" s="10" t="inlineStr">
        <is>
          <t>四季營運皆正、最新季淨利為正 — 經常性已盈利</t>
        </is>
      </c>
      <c r="Z8" s="12" t="inlineStr">
        <is>
          <t>A</t>
        </is>
      </c>
      <c r="AA8" s="7" t="inlineStr">
        <is>
          <t>2026-06-30 / 2026-10-28</t>
        </is>
      </c>
    </row>
    <row r="9" ht="46" customHeight="1">
      <c r="A9" s="5" t="n">
        <v>8</v>
      </c>
      <c r="B9" s="6" t="inlineStr">
        <is>
          <t>TSLA</t>
        </is>
      </c>
      <c r="C9" s="7" t="inlineStr">
        <is>
          <t>Tesla, Inc.</t>
        </is>
      </c>
      <c r="D9" s="7" t="inlineStr">
        <is>
          <t>Industrials</t>
        </is>
      </c>
      <c r="E9" s="7" t="inlineStr">
        <is>
          <t>Auto Manufacturers</t>
        </is>
      </c>
      <c r="F9" s="8" t="n">
        <v>1398.455741267283</v>
      </c>
      <c r="G9" s="5" t="inlineStr">
        <is>
          <t>USD</t>
        </is>
      </c>
      <c r="H9" s="7" t="inlineStr">
        <is>
          <t>2025-09-30 / 2025-12-31 / 2026-03-31 / 2026-06-30</t>
        </is>
      </c>
      <c r="I9" s="8" t="n">
        <v>28095</v>
      </c>
      <c r="J9" s="8" t="n">
        <v>24901</v>
      </c>
      <c r="K9" s="8" t="n">
        <v>22387</v>
      </c>
      <c r="L9" s="8" t="n">
        <v>28236</v>
      </c>
      <c r="M9" s="9" t="n">
        <v>25.51564722617354</v>
      </c>
      <c r="N9" s="8" t="n">
        <v>28478.20597</v>
      </c>
      <c r="O9" s="10" t="inlineStr">
        <is>
          <t>淨利 +$1.37B
經常 +$1.86B
一次: 無重大</t>
        </is>
      </c>
      <c r="P9" s="10" t="inlineStr">
        <is>
          <t>淨利 +$840.0M
經常 +$1.57B
一次: 無重大</t>
        </is>
      </c>
      <c r="Q9" s="10" t="inlineStr">
        <is>
          <t>淨利 +$477.0M
經常 +$941.0M
一次: 無重大</t>
        </is>
      </c>
      <c r="R9" s="10" t="inlineStr">
        <is>
          <t>淨利 +$1.12B
經常 +$398.0M
一次: 無重大</t>
        </is>
      </c>
      <c r="S9" s="11" t="n">
        <v>0.48823</v>
      </c>
      <c r="T9" s="9" t="n">
        <v>1.409548094630968</v>
      </c>
      <c r="U9" s="9" t="n">
        <v>3.95240118997025</v>
      </c>
      <c r="V9" s="9" t="n">
        <v>16.82603768239127</v>
      </c>
      <c r="W9" s="10" t="inlineStr">
        <is>
          <t>無重大</t>
        </is>
      </c>
      <c r="X9" s="10" t="inlineStr">
        <is>
          <t>四季皆正：+1,862 → +1,571 → +941 → +398（百萬）</t>
        </is>
      </c>
      <c r="Y9" s="10" t="inlineStr">
        <is>
          <t>四季營運皆正、最新季淨利為正 — 經常性已盈利</t>
        </is>
      </c>
      <c r="Z9" s="12" t="inlineStr">
        <is>
          <t>A</t>
        </is>
      </c>
      <c r="AA9" s="7" t="inlineStr">
        <is>
          <t>2026-06-30 / 2026-10-21</t>
        </is>
      </c>
    </row>
    <row r="10" ht="46" customHeight="1">
      <c r="A10" s="5" t="n">
        <v>9</v>
      </c>
      <c r="B10" s="6" t="inlineStr">
        <is>
          <t>MU</t>
        </is>
      </c>
      <c r="C10" s="7" t="inlineStr">
        <is>
          <t>Micron Technology, Inc.</t>
        </is>
      </c>
      <c r="D10" s="7" t="inlineStr">
        <is>
          <t>Technology</t>
        </is>
      </c>
      <c r="E10" s="7" t="inlineStr">
        <is>
          <t>Semiconductors</t>
        </is>
      </c>
      <c r="F10" s="8" t="n">
        <v>1148.129783375487</v>
      </c>
      <c r="G10" s="5" t="inlineStr">
        <is>
          <t>USD</t>
        </is>
      </c>
      <c r="H10" s="7" t="inlineStr">
        <is>
          <t>2025-08-31 / 2025-11-30 / 2026-02-28 / 2026-05-31</t>
        </is>
      </c>
      <c r="I10" s="8" t="n">
        <v>11315</v>
      </c>
      <c r="J10" s="8" t="n">
        <v>13643</v>
      </c>
      <c r="K10" s="8" t="n">
        <v>23860</v>
      </c>
      <c r="L10" s="8" t="n">
        <v>41456</v>
      </c>
      <c r="M10" s="9" t="n">
        <v>345.7155144608107</v>
      </c>
      <c r="N10" s="8" t="n">
        <v>56671.5731</v>
      </c>
      <c r="O10" s="10" t="inlineStr">
        <is>
          <t>淨利 +$3.20B
經常 +$3.69B
一次: 無重大</t>
        </is>
      </c>
      <c r="P10" s="10" t="inlineStr">
        <is>
          <t>淨利 +$5.24B
經常 +$6.14B
一次: 無重大</t>
        </is>
      </c>
      <c r="Q10" s="10" t="inlineStr">
        <is>
          <t>淨利 +$13.79B
經常 +$16.14B
一次: 無重大</t>
        </is>
      </c>
      <c r="R10" s="10" t="inlineStr">
        <is>
          <t>淨利 +$28.24B
經常 +$33.32B
一次: 無重大</t>
        </is>
      </c>
      <c r="S10" s="11" t="n">
        <v>34.80837</v>
      </c>
      <c r="T10" s="9" t="n">
        <v>80.36954843689695</v>
      </c>
      <c r="U10" s="9" t="n">
        <v>68.12765341566963</v>
      </c>
      <c r="V10" s="9" t="n">
        <v>84.56194519490545</v>
      </c>
      <c r="W10" s="10" t="inlineStr">
        <is>
          <t>無重大</t>
        </is>
      </c>
      <c r="X10" s="10" t="inlineStr">
        <is>
          <t>四季皆正：+3,693 → +6,136 → +16,135 → +33,318（百萬）</t>
        </is>
      </c>
      <c r="Y10" s="10" t="inlineStr">
        <is>
          <t>四季營運皆正、最新季淨利為正 — 經常性已盈利</t>
        </is>
      </c>
      <c r="Z10" s="12" t="inlineStr">
        <is>
          <t>A</t>
        </is>
      </c>
      <c r="AA10" s="7" t="inlineStr">
        <is>
          <t>2026-05-31 / 2026-09-30</t>
        </is>
      </c>
    </row>
    <row r="11" ht="46" customHeight="1">
      <c r="A11" s="5" t="n">
        <v>10</v>
      </c>
      <c r="B11" s="6" t="inlineStr">
        <is>
          <t>LLY</t>
        </is>
      </c>
      <c r="C11" s="7" t="inlineStr">
        <is>
          <t>Eli Lilly and Company</t>
        </is>
      </c>
      <c r="D11" s="7" t="inlineStr">
        <is>
          <t>Health Care</t>
        </is>
      </c>
      <c r="E11" s="7" t="inlineStr">
        <is>
          <t>Drug Manufacturers - General</t>
        </is>
      </c>
      <c r="F11" s="8" t="n">
        <v>1081.958156228425</v>
      </c>
      <c r="G11" s="5" t="inlineStr">
        <is>
          <t>USD</t>
        </is>
      </c>
      <c r="H11" s="7" t="inlineStr">
        <is>
          <t>2025-09-30 / 2025-12-31 / 2026-03-31 / 2026-06-30</t>
        </is>
      </c>
      <c r="I11" s="8" t="n">
        <v>17600.8</v>
      </c>
      <c r="J11" s="8" t="n">
        <v>19292</v>
      </c>
      <c r="K11" s="8" t="n">
        <v>19799</v>
      </c>
      <c r="L11" s="8" t="n">
        <v>22974</v>
      </c>
      <c r="M11" s="9" t="n">
        <v>47.66679521789432</v>
      </c>
      <c r="N11" s="8" t="n">
        <v>23209.11087</v>
      </c>
      <c r="O11" s="10" t="inlineStr">
        <is>
          <t>淨利 +$5.58B
經常 +$8.39B
一次: -$751.6M（營收 4%）</t>
        </is>
      </c>
      <c r="P11" s="10" t="inlineStr">
        <is>
          <t>淨利 +$6.64B
經常 +$8.99B
一次: -$503.5M（營收 3%）</t>
        </is>
      </c>
      <c r="Q11" s="10" t="inlineStr">
        <is>
          <t>淨利 +$7.40B
經常 +$9.78B
一次: -$721.2M（營收 4%）</t>
        </is>
      </c>
      <c r="R11" s="10" t="inlineStr">
        <is>
          <t>淨利 +$7.09B
經常 +$12.46B
一次: -$2.67B（營收 12%）</t>
        </is>
      </c>
      <c r="S11" s="11" t="n">
        <v>9.97587</v>
      </c>
      <c r="T11" s="9" t="n">
        <v>54.22216418560112</v>
      </c>
      <c r="U11" s="9" t="n">
        <v>30.88273700705145</v>
      </c>
      <c r="V11" s="9" t="n">
        <v>85.77522416644902</v>
      </c>
      <c r="W11" s="10" t="inlineStr">
        <is>
          <t>-$2.67B・營收 11.6%</t>
        </is>
      </c>
      <c r="X11" s="10" t="inlineStr">
        <is>
          <t>四季皆正：+8,386 → +8,987 → +9,778 → +12,457（百萬）</t>
        </is>
      </c>
      <c r="Y11" s="10" t="inlineStr">
        <is>
          <t>四季營運皆正、最新季淨利為正 — 經常性已盈利</t>
        </is>
      </c>
      <c r="Z11" s="12" t="inlineStr">
        <is>
          <t>A</t>
        </is>
      </c>
      <c r="AA11" s="7" t="inlineStr">
        <is>
          <t>2026-06-30 / 2026-10-29</t>
        </is>
      </c>
    </row>
    <row r="12" ht="46" customHeight="1">
      <c r="A12" s="5" t="n">
        <v>11</v>
      </c>
      <c r="B12" s="6" t="inlineStr">
        <is>
          <t>JPM</t>
        </is>
      </c>
      <c r="C12" s="7" t="inlineStr">
        <is>
          <t>JPMorgan Chase &amp; Co.</t>
        </is>
      </c>
      <c r="D12" s="7" t="inlineStr">
        <is>
          <t>Finance</t>
        </is>
      </c>
      <c r="E12" s="7" t="inlineStr">
        <is>
          <t>Banks - Diversified</t>
        </is>
      </c>
      <c r="F12" s="8" t="n">
        <v>953.3318969750493</v>
      </c>
      <c r="G12" s="5" t="inlineStr">
        <is>
          <t>USD</t>
        </is>
      </c>
      <c r="H12" s="7" t="inlineStr">
        <is>
          <t>2025-09-30 / 2025-12-31 / 2026-03-31 / 2026-06-30</t>
        </is>
      </c>
      <c r="I12" s="8" t="n">
        <v>46430</v>
      </c>
      <c r="J12" s="8" t="n">
        <v>45796</v>
      </c>
      <c r="K12" s="8" t="n">
        <v>49833</v>
      </c>
      <c r="L12" s="8" t="n">
        <v>52852</v>
      </c>
      <c r="M12" s="9" t="n">
        <v>17.75767568290183</v>
      </c>
      <c r="N12" s="8" t="n">
        <v>50839.73738</v>
      </c>
      <c r="O12" s="10" t="inlineStr">
        <is>
          <t>淨利 +$14.04B
經常* +$18.79B
一次: 無重大</t>
        </is>
      </c>
      <c r="P12" s="10" t="inlineStr">
        <is>
          <t>淨利 +$12.69B
經常* +$16.63B
一次: +$533.6M（營收 1%）</t>
        </is>
      </c>
      <c r="Q12" s="10" t="inlineStr">
        <is>
          <t>淨利 +$16.15B
經常* +$20.66B
一次: 無重大</t>
        </is>
      </c>
      <c r="R12" s="10" t="inlineStr">
        <is>
          <t>淨利 +$20.75B
經常* +$24.14B
一次: +$3.38B（營收 6%）</t>
        </is>
      </c>
      <c r="S12" s="11" t="n">
        <v>5.9475</v>
      </c>
      <c r="T12" s="9" t="n">
        <v>45.67197073133657</v>
      </c>
      <c r="U12" s="9" t="n">
        <v>39.264360856732</v>
      </c>
      <c r="V12" s="9" t="n"/>
      <c r="W12" s="10" t="inlineStr">
        <is>
          <t>+$3.38B・營收 6.4%</t>
        </is>
      </c>
      <c r="X12" s="10" t="inlineStr">
        <is>
          <t>四季皆正：+18,791 → +16,626 → +20,659 → +24,139（百萬）</t>
        </is>
      </c>
      <c r="Y12" s="10" t="inlineStr">
        <is>
          <t>四季營運皆正、最新季淨利為正 — 經常性已盈利</t>
        </is>
      </c>
      <c r="Z12" s="12" t="inlineStr">
        <is>
          <t>A</t>
        </is>
      </c>
      <c r="AA12" s="7" t="inlineStr">
        <is>
          <t>2026-06-30 / 2026-10-13</t>
        </is>
      </c>
    </row>
    <row r="13" ht="46" customHeight="1">
      <c r="A13" s="5" t="n">
        <v>12</v>
      </c>
      <c r="B13" s="6" t="inlineStr">
        <is>
          <t>AMD</t>
        </is>
      </c>
      <c r="C13" s="7" t="inlineStr">
        <is>
          <t>Advanced Micro Devices, Inc.</t>
        </is>
      </c>
      <c r="D13" s="7" t="inlineStr">
        <is>
          <t>Technology</t>
        </is>
      </c>
      <c r="E13" s="7" t="inlineStr">
        <is>
          <t>Semiconductors</t>
        </is>
      </c>
      <c r="F13" s="8" t="n">
        <v>779.6211058081834</v>
      </c>
      <c r="G13" s="5" t="inlineStr">
        <is>
          <t>USD</t>
        </is>
      </c>
      <c r="H13" s="7" t="inlineStr">
        <is>
          <t>2025-09-30 / 2025-12-31 / 2026-03-31 / 2026-06-30</t>
        </is>
      </c>
      <c r="I13" s="8" t="n">
        <v>9246</v>
      </c>
      <c r="J13" s="8" t="n">
        <v>10270</v>
      </c>
      <c r="K13" s="8" t="n">
        <v>10253</v>
      </c>
      <c r="L13" s="8" t="n">
        <v>11536</v>
      </c>
      <c r="M13" s="9" t="n">
        <v>50.11060507482108</v>
      </c>
      <c r="N13" s="8" t="n">
        <v>16093.5476</v>
      </c>
      <c r="O13" s="10" t="inlineStr">
        <is>
          <t>淨利 +$1.24B
經常 +$1.27B
一次: 無重大</t>
        </is>
      </c>
      <c r="P13" s="10" t="inlineStr">
        <is>
          <t>淨利 +$1.51B
經常 +$1.75B
一次: 無重大</t>
        </is>
      </c>
      <c r="Q13" s="10" t="inlineStr">
        <is>
          <t>淨利 +$1.38B
經常 +$1.48B
一次: 無重大</t>
        </is>
      </c>
      <c r="R13" s="10" t="inlineStr">
        <is>
          <t>淨利 +$2.30B
經常 +$1.99B
一次: 無重大</t>
        </is>
      </c>
      <c r="S13" s="11" t="n">
        <v>2.65132</v>
      </c>
      <c r="T13" s="9" t="n">
        <v>17.250346740638</v>
      </c>
      <c r="U13" s="9" t="n">
        <v>19.91158113730929</v>
      </c>
      <c r="V13" s="9" t="n">
        <v>53.77080443828016</v>
      </c>
      <c r="W13" s="10" t="inlineStr">
        <is>
          <t>無重大</t>
        </is>
      </c>
      <c r="X13" s="10" t="inlineStr">
        <is>
          <t>四季皆正：+1,270 → +1,752 → +1,476 → +1,990（百萬）</t>
        </is>
      </c>
      <c r="Y13" s="10" t="inlineStr">
        <is>
          <t>四季營運皆正、最新季淨利為正 — 經常性已盈利</t>
        </is>
      </c>
      <c r="Z13" s="12" t="inlineStr">
        <is>
          <t>A</t>
        </is>
      </c>
      <c r="AA13" s="7" t="inlineStr">
        <is>
          <t>2026-06-30 / 2026-11-03</t>
        </is>
      </c>
    </row>
    <row r="14" ht="46" customHeight="1">
      <c r="A14" s="5" t="n">
        <v>13</v>
      </c>
      <c r="B14" s="6" t="inlineStr">
        <is>
          <t>V</t>
        </is>
      </c>
      <c r="C14" s="7" t="inlineStr">
        <is>
          <t>Visa Inc.</t>
        </is>
      </c>
      <c r="D14" s="7" t="inlineStr">
        <is>
          <t>Consumer Discretionary</t>
        </is>
      </c>
      <c r="E14" s="7" t="inlineStr">
        <is>
          <t>Credit Services</t>
        </is>
      </c>
      <c r="F14" s="8" t="n">
        <v>670.1582822403756</v>
      </c>
      <c r="G14" s="5" t="inlineStr">
        <is>
          <t>USD</t>
        </is>
      </c>
      <c r="H14" s="7" t="inlineStr">
        <is>
          <t>2025-09-30 / 2025-12-31 / 2026-03-31 / 2026-06-30</t>
        </is>
      </c>
      <c r="I14" s="8" t="n">
        <v>10724</v>
      </c>
      <c r="J14" s="8" t="n">
        <v>10901</v>
      </c>
      <c r="K14" s="8" t="n">
        <v>11230</v>
      </c>
      <c r="L14" s="8" t="n">
        <v>11633</v>
      </c>
      <c r="M14" s="9" t="n">
        <v>14.36295713723947</v>
      </c>
      <c r="N14" s="8" t="n">
        <v>12180.74997</v>
      </c>
      <c r="O14" s="10" t="inlineStr">
        <is>
          <t>淨利 +$5.04B
經常 +$7.05B
一次: -$505.5M（營收 5%）</t>
        </is>
      </c>
      <c r="P14" s="10" t="inlineStr">
        <is>
          <t>淨利 +$5.80B
經常 +$7.45B
一次: -$456.8M（營收 4%）</t>
        </is>
      </c>
      <c r="Q14" s="10" t="inlineStr">
        <is>
          <t>淨利 +$5.97B
經常 +$7.56B
一次: -$177.1M（營收 2%）</t>
        </is>
      </c>
      <c r="R14" s="10" t="inlineStr">
        <is>
          <t>淨利 +$5.63B
經常 +$7.13B
一次: 無重大</t>
        </is>
      </c>
      <c r="S14" s="11" t="n">
        <v>3.6281</v>
      </c>
      <c r="T14" s="9" t="n">
        <v>61.29115447434024</v>
      </c>
      <c r="U14" s="9" t="n">
        <v>48.37960973093785</v>
      </c>
      <c r="V14" s="9" t="n">
        <v>76.46350898306542</v>
      </c>
      <c r="W14" s="10" t="inlineStr">
        <is>
          <t>無重大</t>
        </is>
      </c>
      <c r="X14" s="10" t="inlineStr">
        <is>
          <t>四季皆正：+7,051 → +7,445 → +7,563 → +7,130（百萬）</t>
        </is>
      </c>
      <c r="Y14" s="10" t="inlineStr">
        <is>
          <t>四季營運皆正、最新季淨利為正 — 經常性已盈利</t>
        </is>
      </c>
      <c r="Z14" s="12" t="inlineStr">
        <is>
          <t>A</t>
        </is>
      </c>
      <c r="AA14" s="7" t="inlineStr">
        <is>
          <t>2026-06-30 / 2026-10-27</t>
        </is>
      </c>
    </row>
    <row r="15" ht="46" customHeight="1">
      <c r="A15" s="5" t="n">
        <v>14</v>
      </c>
      <c r="B15" s="6" t="inlineStr">
        <is>
          <t>JNJ</t>
        </is>
      </c>
      <c r="C15" s="7" t="inlineStr">
        <is>
          <t>Johnson &amp; Johnson</t>
        </is>
      </c>
      <c r="D15" s="7" t="inlineStr">
        <is>
          <t>Health Care</t>
        </is>
      </c>
      <c r="E15" s="7" t="inlineStr">
        <is>
          <t>Drug Manufacturers - General</t>
        </is>
      </c>
      <c r="F15" s="8" t="n">
        <v>663.2763908525352</v>
      </c>
      <c r="G15" s="5" t="inlineStr">
        <is>
          <t>USD</t>
        </is>
      </c>
      <c r="H15" s="7" t="inlineStr">
        <is>
          <t>2025-09-30 / 2025-12-31 / 2026-03-31 / 2026-06-30</t>
        </is>
      </c>
      <c r="I15" s="8" t="n">
        <v>23993</v>
      </c>
      <c r="J15" s="8" t="n">
        <v>24564</v>
      </c>
      <c r="K15" s="8" t="n">
        <v>24062</v>
      </c>
      <c r="L15" s="8" t="n">
        <v>25310</v>
      </c>
      <c r="M15" s="9" t="n">
        <v>6.599839952828201</v>
      </c>
      <c r="N15" s="8" t="n">
        <v>26557</v>
      </c>
      <c r="O15" s="10" t="inlineStr">
        <is>
          <t>淨利 +$5.15B
經常 +$7.10B
一次: 無重大</t>
        </is>
      </c>
      <c r="P15" s="10" t="inlineStr">
        <is>
          <t>淨利 +$5.12B
經常 +$5.59B
一次: -$604.4M（營收 2%）</t>
        </is>
      </c>
      <c r="Q15" s="10" t="inlineStr">
        <is>
          <t>淨利 +$5.24B
經常 +$6.39B
一次: -$409.0M（營收 2%）</t>
        </is>
      </c>
      <c r="R15" s="10" t="inlineStr">
        <is>
          <t>淨利 +$5.53B
經常 +$7.17B
一次: 無重大</t>
        </is>
      </c>
      <c r="S15" s="11" t="n">
        <v>3.025</v>
      </c>
      <c r="T15" s="9" t="n">
        <v>28.34452785460292</v>
      </c>
      <c r="U15" s="9" t="n">
        <v>21.86487554326353</v>
      </c>
      <c r="V15" s="9" t="n">
        <v>68.19043856183326</v>
      </c>
      <c r="W15" s="10" t="inlineStr">
        <is>
          <t>無重大</t>
        </is>
      </c>
      <c r="X15" s="10" t="inlineStr">
        <is>
          <t>四季皆正：+7,096 → +5,591 → +6,395 → +7,174（百萬）</t>
        </is>
      </c>
      <c r="Y15" s="10" t="inlineStr">
        <is>
          <t>四季營運皆正、最新季淨利為正 — 經常性已盈利</t>
        </is>
      </c>
      <c r="Z15" s="12" t="inlineStr">
        <is>
          <t>A</t>
        </is>
      </c>
      <c r="AA15" s="7" t="inlineStr">
        <is>
          <t>2026-06-30 / 2026-10-13</t>
        </is>
      </c>
    </row>
    <row r="16" ht="46" customHeight="1">
      <c r="A16" s="5" t="n">
        <v>15</v>
      </c>
      <c r="B16" s="6" t="inlineStr">
        <is>
          <t>ASML</t>
        </is>
      </c>
      <c r="C16" s="7" t="inlineStr">
        <is>
          <t>ASML Holding N.V.</t>
        </is>
      </c>
      <c r="D16" s="7" t="inlineStr">
        <is>
          <t>Technology</t>
        </is>
      </c>
      <c r="E16" s="7" t="inlineStr">
        <is>
          <t>Semiconductor Equipment &amp; Materials</t>
        </is>
      </c>
      <c r="F16" s="8" t="n">
        <v>660.9450453551003</v>
      </c>
      <c r="G16" s="5" t="inlineStr">
        <is>
          <t>EUR</t>
        </is>
      </c>
      <c r="H16" s="7" t="inlineStr">
        <is>
          <t>2025-09-30 / 2025-12-31 / 2026-03-31 / 2026-06-30</t>
        </is>
      </c>
      <c r="I16" s="8" t="n">
        <v>7516</v>
      </c>
      <c r="J16" s="8" t="n">
        <v>9718.1</v>
      </c>
      <c r="K16" s="8" t="n">
        <v>8766.9</v>
      </c>
      <c r="L16" s="8" t="n">
        <v>9326.5</v>
      </c>
      <c r="M16" s="9" t="n">
        <v>21.2540790722467</v>
      </c>
      <c r="N16" s="8" t="n">
        <v>13996.63086</v>
      </c>
      <c r="O16" s="10" t="inlineStr">
        <is>
          <t>淨利 +€2.12B
經常 +€2.47B
一次: 無重大</t>
        </is>
      </c>
      <c r="P16" s="10" t="inlineStr">
        <is>
          <t>淨利 +€2.84B
經常 +€3.43B
一次: 無重大</t>
        </is>
      </c>
      <c r="Q16" s="10" t="inlineStr">
        <is>
          <t>淨利 +€2.76B
經常 +€3.16B
一次: 無重大</t>
        </is>
      </c>
      <c r="R16" s="10" t="inlineStr">
        <is>
          <t>淨利 +€2.92B
經常 +€3.46B
一次: 無重大</t>
        </is>
      </c>
      <c r="S16" s="11" t="n">
        <v>13.14231</v>
      </c>
      <c r="T16" s="9" t="n">
        <v>37.0567737093229</v>
      </c>
      <c r="U16" s="9" t="n">
        <v>31.28290355438803</v>
      </c>
      <c r="V16" s="9" t="n">
        <v>53.99024285637699</v>
      </c>
      <c r="W16" s="10" t="inlineStr">
        <is>
          <t>無重大</t>
        </is>
      </c>
      <c r="X16" s="10" t="inlineStr">
        <is>
          <t>四季皆正：+2,468 → +3,431 → +3,158 → +3,456（百萬）</t>
        </is>
      </c>
      <c r="Y16" s="10" t="inlineStr">
        <is>
          <t>四季營運皆正、最新季淨利為正 — 經常性已盈利</t>
        </is>
      </c>
      <c r="Z16" s="12" t="inlineStr">
        <is>
          <t>A</t>
        </is>
      </c>
      <c r="AA16" s="7" t="inlineStr">
        <is>
          <t>2026-06-30 / 2026-10-14</t>
        </is>
      </c>
    </row>
    <row r="17" ht="46" customHeight="1">
      <c r="A17" s="5" t="n">
        <v>16</v>
      </c>
      <c r="B17" s="6" t="inlineStr">
        <is>
          <t>XOM</t>
        </is>
      </c>
      <c r="C17" s="7" t="inlineStr">
        <is>
          <t>ExxonMobil Holdings Corporation</t>
        </is>
      </c>
      <c r="D17" s="7" t="inlineStr">
        <is>
          <t>Energy</t>
        </is>
      </c>
      <c r="E17" s="7" t="inlineStr">
        <is>
          <t>Oil &amp; Gas Integrated</t>
        </is>
      </c>
      <c r="F17" s="8" t="n">
        <v>655.726600261</v>
      </c>
      <c r="G17" s="5" t="inlineStr">
        <is>
          <t>USD</t>
        </is>
      </c>
      <c r="H17" s="7" t="inlineStr">
        <is>
          <t>2025-09-30 / 2025-12-31 / 2026-03-31 / 2026-06-30</t>
        </is>
      </c>
      <c r="I17" s="8" t="n">
        <v>83331</v>
      </c>
      <c r="J17" s="8" t="n">
        <v>80039</v>
      </c>
      <c r="K17" s="8" t="n">
        <v>83161</v>
      </c>
      <c r="L17" s="8" t="n">
        <v>114529</v>
      </c>
      <c r="M17" s="9" t="n">
        <v>44.10332549039344</v>
      </c>
      <c r="N17" s="8" t="n">
        <v>104057.47369</v>
      </c>
      <c r="O17" s="10" t="inlineStr">
        <is>
          <t>淨利 +$7.55B
經常 +$9.18B
一次: 無重大</t>
        </is>
      </c>
      <c r="P17" s="10" t="inlineStr">
        <is>
          <t>淨利 +$6.50B
經常 +$6.00B
一次: 無重大</t>
        </is>
      </c>
      <c r="Q17" s="10" t="inlineStr">
        <is>
          <t>淨利 +$4.18B
經常 +$5.35B
一次: 無重大</t>
        </is>
      </c>
      <c r="R17" s="10" t="inlineStr">
        <is>
          <t>淨利 +$14.53B
經常 +$18.20B
一次: 無重大</t>
        </is>
      </c>
      <c r="S17" s="11" t="n">
        <v>3.05319</v>
      </c>
      <c r="T17" s="9" t="n">
        <v>15.8868059618088</v>
      </c>
      <c r="U17" s="9" t="n">
        <v>12.68237738913288</v>
      </c>
      <c r="V17" s="9" t="n">
        <v>22.51744099747662</v>
      </c>
      <c r="W17" s="10" t="inlineStr">
        <is>
          <t>無重大</t>
        </is>
      </c>
      <c r="X17" s="10" t="inlineStr">
        <is>
          <t>四季皆正：+9,178 → +6,003 → +5,347 → +18,195（百萬）</t>
        </is>
      </c>
      <c r="Y17" s="10" t="inlineStr">
        <is>
          <t>四季營運皆正、最新季淨利為正 — 經常性已盈利</t>
        </is>
      </c>
      <c r="Z17" s="12" t="inlineStr">
        <is>
          <t>A</t>
        </is>
      </c>
      <c r="AA17" s="7" t="inlineStr">
        <is>
          <t>2026-06-30 / 2026-10-30</t>
        </is>
      </c>
    </row>
    <row r="18" ht="46" customHeight="1">
      <c r="A18" s="5" t="n">
        <v>17</v>
      </c>
      <c r="B18" s="6" t="inlineStr">
        <is>
          <t>MA</t>
        </is>
      </c>
      <c r="C18" s="7" t="inlineStr">
        <is>
          <t>Mastercard Incorporated</t>
        </is>
      </c>
      <c r="D18" s="7" t="inlineStr">
        <is>
          <t>Consumer Discretionary</t>
        </is>
      </c>
      <c r="E18" s="7" t="inlineStr">
        <is>
          <t>Credit Services</t>
        </is>
      </c>
      <c r="F18" s="8" t="n">
        <v>507.3937173476985</v>
      </c>
      <c r="G18" s="5" t="inlineStr">
        <is>
          <t>USD</t>
        </is>
      </c>
      <c r="H18" s="7" t="inlineStr">
        <is>
          <t>2025-09-30 / 2025-12-31 / 2026-03-31 / 2026-06-30</t>
        </is>
      </c>
      <c r="I18" s="8" t="n">
        <v>8602</v>
      </c>
      <c r="J18" s="8" t="n">
        <v>8806</v>
      </c>
      <c r="K18" s="8" t="n">
        <v>8398</v>
      </c>
      <c r="L18" s="8" t="n">
        <v>9277</v>
      </c>
      <c r="M18" s="9" t="n">
        <v>14.06615025205951</v>
      </c>
      <c r="N18" s="8" t="n">
        <v>9951.464379999999</v>
      </c>
      <c r="O18" s="10" t="inlineStr">
        <is>
          <t>淨利 +$3.93B
經常 +$5.17B
一次: 無重大</t>
        </is>
      </c>
      <c r="P18" s="10" t="inlineStr">
        <is>
          <t>淨利 +$4.06B
經常 +$5.13B
一次: -$197.3M（營收 2%）</t>
        </is>
      </c>
      <c r="Q18" s="10" t="inlineStr">
        <is>
          <t>淨利 +$3.88B
經常 +$4.96B
一次: 無重大</t>
        </is>
      </c>
      <c r="R18" s="10" t="inlineStr">
        <is>
          <t>淨利 +$4.39B
經常 +$5.73B
一次: 無重大</t>
        </is>
      </c>
      <c r="S18" s="11" t="n">
        <v>5.17032</v>
      </c>
      <c r="T18" s="9" t="n">
        <v>61.74409830764256</v>
      </c>
      <c r="U18" s="9" t="n">
        <v>47.2997736337178</v>
      </c>
      <c r="V18" s="9" t="n">
        <v>79.01261183572275</v>
      </c>
      <c r="W18" s="10" t="inlineStr">
        <is>
          <t>無重大</t>
        </is>
      </c>
      <c r="X18" s="10" t="inlineStr">
        <is>
          <t>四季皆正：+5,170 → +5,129 → +4,965 → +5,728（百萬）</t>
        </is>
      </c>
      <c r="Y18" s="10" t="inlineStr">
        <is>
          <t>四季營運皆正、最新季淨利為正 — 經常性已盈利</t>
        </is>
      </c>
      <c r="Z18" s="12" t="inlineStr">
        <is>
          <t>A</t>
        </is>
      </c>
      <c r="AA18" s="7" t="inlineStr">
        <is>
          <t>2026-06-30 / 2026-10-29</t>
        </is>
      </c>
    </row>
    <row r="19" ht="46" customHeight="1">
      <c r="A19" s="5" t="n">
        <v>18</v>
      </c>
      <c r="B19" s="6" t="inlineStr">
        <is>
          <t>ORCL</t>
        </is>
      </c>
      <c r="C19" s="7" t="inlineStr">
        <is>
          <t>Oracle Corporation</t>
        </is>
      </c>
      <c r="D19" s="7" t="inlineStr">
        <is>
          <t>Technology</t>
        </is>
      </c>
      <c r="E19" s="7" t="inlineStr">
        <is>
          <t>Software - Infrastructure</t>
        </is>
      </c>
      <c r="F19" s="8" t="n">
        <v>457.36118538</v>
      </c>
      <c r="G19" s="5" t="inlineStr">
        <is>
          <t>USD</t>
        </is>
      </c>
      <c r="H19" s="7" t="inlineStr">
        <is>
          <t>2025-08-31 / 2025-11-30 / 2026-02-28 / 2026-05-31</t>
        </is>
      </c>
      <c r="I19" s="8" t="n">
        <v>14926</v>
      </c>
      <c r="J19" s="8" t="n">
        <v>16058</v>
      </c>
      <c r="K19" s="8" t="n">
        <v>17190</v>
      </c>
      <c r="L19" s="8" t="n">
        <v>19184</v>
      </c>
      <c r="M19" s="9" t="n">
        <v>20.63132742249889</v>
      </c>
      <c r="N19" s="8" t="n">
        <v>21167.57102</v>
      </c>
      <c r="O19" s="10" t="inlineStr">
        <is>
          <t>淨利 +$2.93B
經常 +$4.69B
一次: -$425.3M（營收 3%）</t>
        </is>
      </c>
      <c r="P19" s="10" t="inlineStr">
        <is>
          <t>淨利 +$6.13B
經常 +$5.16B
一次: +$1.97B（營收 12%）</t>
        </is>
      </c>
      <c r="Q19" s="10" t="inlineStr">
        <is>
          <t>淨利 +$3.70B
經常 +$5.64B
一次: -$194.6M（營收 1%）</t>
        </is>
      </c>
      <c r="R19" s="10" t="inlineStr">
        <is>
          <t>淨利 +$4.22B
經常 +$6.96B
一次: -$373.6M（營收 2%）</t>
        </is>
      </c>
      <c r="S19" s="11" t="n">
        <v>1.88796</v>
      </c>
      <c r="T19" s="9" t="n">
        <v>36.25417014178482</v>
      </c>
      <c r="U19" s="9" t="n">
        <v>22.01313594662219</v>
      </c>
      <c r="V19" s="9" t="n">
        <v>65.22623019182652</v>
      </c>
      <c r="W19" s="10" t="inlineStr">
        <is>
          <t>-$373.6M・營收 1.9%</t>
        </is>
      </c>
      <c r="X19" s="10" t="inlineStr">
        <is>
          <t>四季皆正：+4,692 → +5,158 → +5,637 → +6,955（百萬）</t>
        </is>
      </c>
      <c r="Y19" s="10" t="inlineStr">
        <is>
          <t>四季營運皆正、最新季淨利為正 — 經常性已盈利</t>
        </is>
      </c>
      <c r="Z19" s="12" t="inlineStr">
        <is>
          <t>A</t>
        </is>
      </c>
      <c r="AA19" s="7" t="inlineStr">
        <is>
          <t>2026-05-31 / 2026-09-10</t>
        </is>
      </c>
    </row>
    <row r="20" ht="46" customHeight="1">
      <c r="A20" s="5" t="n">
        <v>19</v>
      </c>
      <c r="B20" s="6" t="inlineStr">
        <is>
          <t>ABBV</t>
        </is>
      </c>
      <c r="C20" s="7" t="inlineStr">
        <is>
          <t>AbbVie Inc.</t>
        </is>
      </c>
      <c r="D20" s="7" t="inlineStr">
        <is>
          <t>Health Care</t>
        </is>
      </c>
      <c r="E20" s="7" t="inlineStr">
        <is>
          <t>Drug Manufacturers - General</t>
        </is>
      </c>
      <c r="F20" s="8" t="n">
        <v>453.1948989115742</v>
      </c>
      <c r="G20" s="5" t="inlineStr">
        <is>
          <t>USD</t>
        </is>
      </c>
      <c r="H20" s="7" t="inlineStr">
        <is>
          <t>2025-09-30 / 2025-12-31 / 2026-03-31 / 2026-06-30</t>
        </is>
      </c>
      <c r="I20" s="8" t="n">
        <v>15776</v>
      </c>
      <c r="J20" s="8" t="n">
        <v>16618</v>
      </c>
      <c r="K20" s="8" t="n">
        <v>15002</v>
      </c>
      <c r="L20" s="8" t="n">
        <v>16990</v>
      </c>
      <c r="M20" s="9" t="n">
        <v>10.16015042469041</v>
      </c>
      <c r="N20" s="8" t="n">
        <v>18312.89397</v>
      </c>
      <c r="O20" s="10" t="inlineStr">
        <is>
          <t>淨利 +$176.0M
經常 +$4.58B
一次: -$2.13B（營收 14%）</t>
        </is>
      </c>
      <c r="P20" s="10" t="inlineStr">
        <is>
          <t>淨利 +$1.81B
經常 +$5.81B
一次: -$868.0M（營收 5%）</t>
        </is>
      </c>
      <c r="Q20" s="10" t="inlineStr">
        <is>
          <t>淨利 +$685.0M
經常 +$4.73B
一次: -$499.1M（營收 3%）</t>
        </is>
      </c>
      <c r="R20" s="10" t="inlineStr">
        <is>
          <t>淨利 +$3.60B
經常 +$6.72B
一次: -$246.0M（營收 1%）</t>
        </is>
      </c>
      <c r="S20" s="11" t="n">
        <v>3.8671</v>
      </c>
      <c r="T20" s="9" t="n">
        <v>39.57033549146557</v>
      </c>
      <c r="U20" s="9" t="n">
        <v>21.19482048263685</v>
      </c>
      <c r="V20" s="9" t="n">
        <v>74.74396703943496</v>
      </c>
      <c r="W20" s="10" t="inlineStr">
        <is>
          <t>-$246.0M・營收 1.4%</t>
        </is>
      </c>
      <c r="X20" s="10" t="inlineStr">
        <is>
          <t>四季皆正：+4,584 → +5,809 → +4,734 → +6,723（百萬）</t>
        </is>
      </c>
      <c r="Y20" s="10" t="inlineStr">
        <is>
          <t>四季營運皆正、最新季淨利為正 — 經常性已盈利</t>
        </is>
      </c>
      <c r="Z20" s="12" t="inlineStr">
        <is>
          <t>A</t>
        </is>
      </c>
      <c r="AA20" s="7" t="inlineStr">
        <is>
          <t>2026-06-30 / 2026-10-29</t>
        </is>
      </c>
    </row>
    <row r="21" ht="46" customHeight="1">
      <c r="A21" s="5" t="n">
        <v>20</v>
      </c>
      <c r="B21" s="6" t="inlineStr">
        <is>
          <t>BAC</t>
        </is>
      </c>
      <c r="C21" s="7" t="inlineStr">
        <is>
          <t>Bank of America Corporation</t>
        </is>
      </c>
      <c r="D21" s="7" t="inlineStr">
        <is>
          <t>Finance</t>
        </is>
      </c>
      <c r="E21" s="7" t="inlineStr">
        <is>
          <t>Banks - Diversified</t>
        </is>
      </c>
      <c r="F21" s="8" t="n">
        <v>438.305467517949</v>
      </c>
      <c r="G21" s="5" t="inlineStr">
        <is>
          <t>USD</t>
        </is>
      </c>
      <c r="H21" s="7" t="inlineStr">
        <is>
          <t>2025-06-30 / 2025-09-30 / 2025-12-31 / 2026-03-31</t>
        </is>
      </c>
      <c r="I21" s="8" t="n">
        <v>27443</v>
      </c>
      <c r="J21" s="8" t="n">
        <v>28088</v>
      </c>
      <c r="K21" s="8" t="n">
        <v>31180</v>
      </c>
      <c r="L21" s="8" t="n">
        <v>30272</v>
      </c>
      <c r="M21" s="9" t="n">
        <v>7.168902892342555</v>
      </c>
      <c r="N21" s="8" t="n">
        <v>30789.82391</v>
      </c>
      <c r="O21" s="10" t="inlineStr">
        <is>
          <t>淨利 +$6.88B
經常* +$8.67B
一次: 無重大</t>
        </is>
      </c>
      <c r="P21" s="10" t="inlineStr">
        <is>
          <t>淨利 +$8.04B
經常* +$9.46B
一次: 無重大</t>
        </is>
      </c>
      <c r="Q21" s="10" t="inlineStr">
        <is>
          <t>淨利 +$7.20B
經常* +$12.44B
一次: 無重大</t>
        </is>
      </c>
      <c r="R21" s="10" t="inlineStr">
        <is>
          <t>淨利 +$8.15B
經常* +$10.40B
一次: 無重大</t>
        </is>
      </c>
      <c r="S21" s="11" t="n">
        <v>1.15958</v>
      </c>
      <c r="T21" s="9" t="n">
        <v>34.3683932346723</v>
      </c>
      <c r="U21" s="9" t="n">
        <v>26.93908562367865</v>
      </c>
      <c r="V21" s="9" t="n"/>
      <c r="W21" s="10" t="inlineStr">
        <is>
          <t>無重大</t>
        </is>
      </c>
      <c r="X21" s="10" t="inlineStr">
        <is>
          <t>四季皆正：+8,668 → +9,456 → +12,435 → +10,404（百萬）</t>
        </is>
      </c>
      <c r="Y21" s="10" t="inlineStr">
        <is>
          <t>四季營運皆正、最新季淨利為正 — 經常性已盈利</t>
        </is>
      </c>
      <c r="Z21" s="12" t="inlineStr">
        <is>
          <t>A</t>
        </is>
      </c>
      <c r="AA21" s="7" t="inlineStr">
        <is>
          <t>2026-03-31 / 2026-10-14</t>
        </is>
      </c>
    </row>
    <row r="22" ht="46" customHeight="1">
      <c r="A22" s="5" t="n">
        <v>21</v>
      </c>
      <c r="B22" s="6" t="inlineStr">
        <is>
          <t>PLTR</t>
        </is>
      </c>
      <c r="C22" s="7" t="inlineStr">
        <is>
          <t>Palantir Technologies Inc.</t>
        </is>
      </c>
      <c r="D22" s="7" t="inlineStr">
        <is>
          <t>Technology</t>
        </is>
      </c>
      <c r="E22" s="7" t="inlineStr">
        <is>
          <t>Software - Infrastructure</t>
        </is>
      </c>
      <c r="F22" s="8" t="n">
        <v>418.7499831687949</v>
      </c>
      <c r="G22" s="5" t="inlineStr">
        <is>
          <t>USD</t>
        </is>
      </c>
      <c r="H22" s="7" t="inlineStr">
        <is>
          <t>2025-09-30 / 2025-12-31 / 2026-03-31 / 2026-06-30</t>
        </is>
      </c>
      <c r="I22" s="8" t="n">
        <v>1181.092</v>
      </c>
      <c r="J22" s="8" t="n">
        <v>1406.802</v>
      </c>
      <c r="K22" s="8" t="n">
        <v>1632.583</v>
      </c>
      <c r="L22" s="8" t="n">
        <v>1935.464</v>
      </c>
      <c r="M22" s="9" t="n">
        <v>92.8334945705726</v>
      </c>
      <c r="N22" s="8" t="n">
        <v>2458.94125</v>
      </c>
      <c r="O22" s="10" t="inlineStr">
        <is>
          <t>淨利 +$475.6M
經常 +$393.3M
一次: 無重大</t>
        </is>
      </c>
      <c r="P22" s="10" t="inlineStr">
        <is>
          <t>淨利 +$608.7M
經常 +$575.4M
一次: 無重大</t>
        </is>
      </c>
      <c r="Q22" s="10" t="inlineStr">
        <is>
          <t>淨利 +$870.5M
經常 +$754.0M
一次: 無重大</t>
        </is>
      </c>
      <c r="R22" s="10" t="inlineStr">
        <is>
          <t>淨利 +$1.06B
經常 +$912.0M
一次: 無重大</t>
        </is>
      </c>
      <c r="S22" s="11" t="n">
        <v>0.4645</v>
      </c>
      <c r="T22" s="9" t="n">
        <v>47.12069043908851</v>
      </c>
      <c r="U22" s="9" t="n">
        <v>54.86487994610079</v>
      </c>
      <c r="V22" s="9" t="n">
        <v>84.6615591920077</v>
      </c>
      <c r="W22" s="10" t="inlineStr">
        <is>
          <t>無重大</t>
        </is>
      </c>
      <c r="X22" s="10" t="inlineStr">
        <is>
          <t>四季皆正：+393 → +575 → +754 → +912（百萬）</t>
        </is>
      </c>
      <c r="Y22" s="10" t="inlineStr">
        <is>
          <t>四季營運皆正、最新季淨利為正 — 經常性已盈利</t>
        </is>
      </c>
      <c r="Z22" s="12" t="inlineStr">
        <is>
          <t>A</t>
        </is>
      </c>
      <c r="AA22" s="7" t="inlineStr">
        <is>
          <t>2026-06-30 / 2026-11-02</t>
        </is>
      </c>
    </row>
    <row r="23" ht="46" customHeight="1">
      <c r="A23" s="5" t="n">
        <v>22</v>
      </c>
      <c r="B23" s="6" t="inlineStr">
        <is>
          <t>CVX</t>
        </is>
      </c>
      <c r="C23" s="7" t="inlineStr">
        <is>
          <t>Chevron Corporation</t>
        </is>
      </c>
      <c r="D23" s="7" t="inlineStr">
        <is>
          <t>Energy</t>
        </is>
      </c>
      <c r="E23" s="7" t="inlineStr">
        <is>
          <t>Oil &amp; Gas Integrated</t>
        </is>
      </c>
      <c r="F23" s="8" t="n">
        <v>412.1458877564906</v>
      </c>
      <c r="G23" s="5" t="inlineStr">
        <is>
          <t>USD</t>
        </is>
      </c>
      <c r="H23" s="7" t="inlineStr">
        <is>
          <t>2025-09-30 / 2025-12-31 / 2026-03-31 / 2026-06-30</t>
        </is>
      </c>
      <c r="I23" s="8" t="n">
        <v>48169</v>
      </c>
      <c r="J23" s="8" t="n">
        <v>45787</v>
      </c>
      <c r="K23" s="8" t="n">
        <v>47556</v>
      </c>
      <c r="L23" s="8" t="n">
        <v>67199</v>
      </c>
      <c r="M23" s="9" t="n">
        <v>51.43436619718309</v>
      </c>
      <c r="N23" s="8" t="n">
        <v>57636.62588</v>
      </c>
      <c r="O23" s="10" t="inlineStr">
        <is>
          <t>淨利 +$3.54B
經常 +$4.30B
一次: 無重大</t>
        </is>
      </c>
      <c r="P23" s="10" t="inlineStr">
        <is>
          <t>淨利 +$2.77B
經常 +$4.02B
一次: 無重大</t>
        </is>
      </c>
      <c r="Q23" s="10" t="inlineStr">
        <is>
          <t>淨利 +$2.21B
經常 +$3.22B
一次: 無重大</t>
        </is>
      </c>
      <c r="R23" s="10" t="inlineStr">
        <is>
          <t>淨利 +$12.07B
經常 +$14.28B
一次: 無重大</t>
        </is>
      </c>
      <c r="S23" s="11" t="n">
        <v>4.04726</v>
      </c>
      <c r="T23" s="9" t="n">
        <v>21.24436375541303</v>
      </c>
      <c r="U23" s="9" t="n">
        <v>17.96455304394411</v>
      </c>
      <c r="V23" s="9" t="n">
        <v>36.4737570499561</v>
      </c>
      <c r="W23" s="10" t="inlineStr">
        <is>
          <t>無重大</t>
        </is>
      </c>
      <c r="X23" s="10" t="inlineStr">
        <is>
          <t>四季皆正：+4,297 → +4,023 → +3,222 → +14,276（百萬）</t>
        </is>
      </c>
      <c r="Y23" s="10" t="inlineStr">
        <is>
          <t>四季營運皆正、最新季淨利為正 — 經常性已盈利</t>
        </is>
      </c>
      <c r="Z23" s="12" t="inlineStr">
        <is>
          <t>A</t>
        </is>
      </c>
      <c r="AA23" s="7" t="inlineStr">
        <is>
          <t>2026-06-30 / 2026-10-30</t>
        </is>
      </c>
    </row>
    <row r="24" ht="46" customHeight="1">
      <c r="A24" s="5" t="n">
        <v>23</v>
      </c>
      <c r="B24" s="6" t="inlineStr">
        <is>
          <t>COST</t>
        </is>
      </c>
      <c r="C24" s="7" t="inlineStr">
        <is>
          <t>Costco Wholesale Corporation</t>
        </is>
      </c>
      <c r="D24" s="7" t="inlineStr">
        <is>
          <t>Consumer Discretionary</t>
        </is>
      </c>
      <c r="E24" s="7" t="inlineStr">
        <is>
          <t>Discount Stores</t>
        </is>
      </c>
      <c r="F24" s="8" t="n">
        <v>406.1112799745632</v>
      </c>
      <c r="G24" s="5" t="inlineStr">
        <is>
          <t>USD</t>
        </is>
      </c>
      <c r="H24" s="7" t="inlineStr">
        <is>
          <t>2025-08-31 / 2025-11-30 / 2026-02-28 / 2026-05-31</t>
        </is>
      </c>
      <c r="I24" s="8" t="n">
        <v>86156</v>
      </c>
      <c r="J24" s="8" t="n">
        <v>67307</v>
      </c>
      <c r="K24" s="8" t="n">
        <v>69597</v>
      </c>
      <c r="L24" s="8" t="n">
        <v>70527</v>
      </c>
      <c r="M24" s="9" t="n">
        <v>11.58452654062179</v>
      </c>
      <c r="N24" s="8" t="n">
        <v>73259.22576</v>
      </c>
      <c r="O24" s="10" t="inlineStr">
        <is>
          <t>淨利 +$2.61B
經常 +$3.34B
一次: 無重大</t>
        </is>
      </c>
      <c r="P24" s="10" t="inlineStr">
        <is>
          <t>淨利 +$2.00B
經常 +$2.46B
一次: 無重大</t>
        </is>
      </c>
      <c r="Q24" s="10" t="inlineStr">
        <is>
          <t>淨利 +$2.04B
經常 +$2.61B
一次: 無重大</t>
        </is>
      </c>
      <c r="R24" s="10" t="inlineStr">
        <is>
          <t>淨利 +$2.19B
經常 +$2.81B
一次: 無重大</t>
        </is>
      </c>
      <c r="S24" s="11" t="n">
        <v>4.85385</v>
      </c>
      <c r="T24" s="9" t="n">
        <v>3.991379188112354</v>
      </c>
      <c r="U24" s="9" t="n">
        <v>3.108029548967063</v>
      </c>
      <c r="V24" s="9" t="n">
        <v>12.77241340195953</v>
      </c>
      <c r="W24" s="10" t="inlineStr">
        <is>
          <t>無重大</t>
        </is>
      </c>
      <c r="X24" s="10" t="inlineStr">
        <is>
          <t>四季皆正：+3,341 → +2,463 → +2,606 → +2,815（百萬）</t>
        </is>
      </c>
      <c r="Y24" s="10" t="inlineStr">
        <is>
          <t>四季營運皆正、最新季淨利為正 — 經常性已盈利</t>
        </is>
      </c>
      <c r="Z24" s="12" t="inlineStr">
        <is>
          <t>A</t>
        </is>
      </c>
      <c r="AA24" s="7" t="inlineStr">
        <is>
          <t>2026-05-31 / 2026-09-24</t>
        </is>
      </c>
    </row>
    <row r="25" ht="46" customHeight="1">
      <c r="A25" s="5" t="n">
        <v>24</v>
      </c>
      <c r="B25" s="6" t="inlineStr">
        <is>
          <t>LRCX</t>
        </is>
      </c>
      <c r="C25" s="7" t="inlineStr">
        <is>
          <t>Lam Research Corporation</t>
        </is>
      </c>
      <c r="D25" s="7" t="inlineStr">
        <is>
          <t>Technology</t>
        </is>
      </c>
      <c r="E25" s="7" t="inlineStr">
        <is>
          <t>Semiconductor Equipment &amp; Materials</t>
        </is>
      </c>
      <c r="F25" s="8" t="n">
        <v>384.96890565</v>
      </c>
      <c r="G25" s="5" t="inlineStr">
        <is>
          <t>USD</t>
        </is>
      </c>
      <c r="H25" s="7" t="inlineStr">
        <is>
          <t>2025-09-30 / 2025-12-31 / 2026-03-31 / 2026-06-30</t>
        </is>
      </c>
      <c r="I25" s="8" t="n">
        <v>5324.173</v>
      </c>
      <c r="J25" s="8" t="n">
        <v>5344.791</v>
      </c>
      <c r="K25" s="8" t="n">
        <v>5841.488</v>
      </c>
      <c r="L25" s="8" t="n">
        <v>6722.238</v>
      </c>
      <c r="M25" s="9" t="n">
        <v>29.98892174700318</v>
      </c>
      <c r="N25" s="8" t="n">
        <v>8516.35592</v>
      </c>
      <c r="O25" s="10" t="inlineStr">
        <is>
          <t>淨利 +$1.57B
經常 +$1.83B
一次: 無重大</t>
        </is>
      </c>
      <c r="P25" s="10" t="inlineStr">
        <is>
          <t>淨利 +$1.59B
經常 +$1.81B
一次: 無重大</t>
        </is>
      </c>
      <c r="Q25" s="10" t="inlineStr">
        <is>
          <t>淨利 +$1.83B
經常 +$2.05B
一次: 無重大</t>
        </is>
      </c>
      <c r="R25" s="10" t="inlineStr">
        <is>
          <t>淨利 +$2.28B
經常 +$2.51B
一次: 無重大</t>
        </is>
      </c>
      <c r="S25" s="11" t="n">
        <v>2.30683</v>
      </c>
      <c r="T25" s="9" t="n">
        <v>37.39064281865652</v>
      </c>
      <c r="U25" s="9" t="n">
        <v>33.87684280145987</v>
      </c>
      <c r="V25" s="9" t="n">
        <v>51.74972977749373</v>
      </c>
      <c r="W25" s="10" t="inlineStr">
        <is>
          <t>無重大</t>
        </is>
      </c>
      <c r="X25" s="10" t="inlineStr">
        <is>
          <t>四季皆正：+1,829 → +1,810 → +2,047 → +2,513（百萬）</t>
        </is>
      </c>
      <c r="Y25" s="10" t="inlineStr">
        <is>
          <t>四季營運皆正、最新季淨利為正 — 經常性已盈利</t>
        </is>
      </c>
      <c r="Z25" s="12" t="inlineStr">
        <is>
          <t>A</t>
        </is>
      </c>
      <c r="AA25" s="7" t="inlineStr">
        <is>
          <t>2026-06-30 / 2026-10-21</t>
        </is>
      </c>
    </row>
    <row r="26" ht="46" customHeight="1">
      <c r="A26" s="5" t="n">
        <v>25</v>
      </c>
      <c r="B26" s="6" t="inlineStr">
        <is>
          <t>KO</t>
        </is>
      </c>
      <c r="C26" s="7" t="inlineStr">
        <is>
          <t>The Coca-Cola Company</t>
        </is>
      </c>
      <c r="D26" s="7" t="inlineStr">
        <is>
          <t>Consumer Staples</t>
        </is>
      </c>
      <c r="E26" s="7" t="inlineStr">
        <is>
          <t>Beverages - Non-Alcoholic</t>
        </is>
      </c>
      <c r="F26" s="8" t="n">
        <v>378.9255118306518</v>
      </c>
      <c r="G26" s="5" t="inlineStr">
        <is>
          <t>USD</t>
        </is>
      </c>
      <c r="H26" s="7" t="inlineStr">
        <is>
          <t>2025-09-30 / 2025-12-31 / 2026-03-31 / 2026-06-30</t>
        </is>
      </c>
      <c r="I26" s="8" t="n">
        <v>12455</v>
      </c>
      <c r="J26" s="8" t="n">
        <v>11822</v>
      </c>
      <c r="K26" s="8" t="n">
        <v>12472</v>
      </c>
      <c r="L26" s="8" t="n">
        <v>13380</v>
      </c>
      <c r="M26" s="9" t="n">
        <v>6.741124850418823</v>
      </c>
      <c r="N26" s="8" t="n">
        <v>10969.41486</v>
      </c>
      <c r="O26" s="10" t="inlineStr">
        <is>
          <t>淨利 +$3.70B
經常 +$4.01B
一次: -$224.5M（營收 2%）</t>
        </is>
      </c>
      <c r="P26" s="10" t="inlineStr">
        <is>
          <t>淨利 +$2.27B
經常 +$2.86B
一次: -$143.1M（營收 1%）</t>
        </is>
      </c>
      <c r="Q26" s="10" t="inlineStr">
        <is>
          <t>淨利 +$3.92B
經常 +$4.37B
一次: 無重大</t>
        </is>
      </c>
      <c r="R26" s="10" t="inlineStr">
        <is>
          <t>淨利 +$4.42B
經常 +$4.70B
一次: +$295.1M（營收 2%）</t>
        </is>
      </c>
      <c r="S26" s="11" t="n">
        <v>0.59561</v>
      </c>
      <c r="T26" s="9" t="n">
        <v>35.08968609865471</v>
      </c>
      <c r="U26" s="9" t="n">
        <v>33.07174887892377</v>
      </c>
      <c r="V26" s="9" t="n">
        <v>62.89237668161435</v>
      </c>
      <c r="W26" s="10" t="inlineStr">
        <is>
          <t>+$295.1M・營收 2.2%</t>
        </is>
      </c>
      <c r="X26" s="10" t="inlineStr">
        <is>
          <t>四季皆正：+4,012 → +2,862 → +4,372 → +4,695（百萬）</t>
        </is>
      </c>
      <c r="Y26" s="10" t="inlineStr">
        <is>
          <t>四季營運皆正、最新季淨利為正 — 經常性已盈利</t>
        </is>
      </c>
      <c r="Z26" s="12" t="inlineStr">
        <is>
          <t>A</t>
        </is>
      </c>
      <c r="AA26" s="7" t="inlineStr">
        <is>
          <t>2026-06-30 / 2026-10-20</t>
        </is>
      </c>
    </row>
    <row r="27" ht="46" customHeight="1">
      <c r="A27" s="5" t="n">
        <v>26</v>
      </c>
      <c r="B27" s="6" t="inlineStr">
        <is>
          <t>CAT</t>
        </is>
      </c>
      <c r="C27" s="7" t="inlineStr">
        <is>
          <t>Caterpillar Inc.</t>
        </is>
      </c>
      <c r="D27" s="7" t="inlineStr">
        <is>
          <t>Industrials</t>
        </is>
      </c>
      <c r="E27" s="7" t="inlineStr">
        <is>
          <t>Farm &amp; Heavy Construction Machinery</t>
        </is>
      </c>
      <c r="F27" s="8" t="n">
        <v>374.1477791530478</v>
      </c>
      <c r="G27" s="5" t="inlineStr">
        <is>
          <t>USD</t>
        </is>
      </c>
      <c r="H27" s="7" t="inlineStr">
        <is>
          <t>2025-09-30 / 2025-12-31 / 2026-03-31 / 2026-06-30</t>
        </is>
      </c>
      <c r="I27" s="8" t="n">
        <v>17638</v>
      </c>
      <c r="J27" s="8" t="n">
        <v>19133</v>
      </c>
      <c r="K27" s="8" t="n">
        <v>17415</v>
      </c>
      <c r="L27" s="8" t="n">
        <v>20543</v>
      </c>
      <c r="M27" s="9" t="n">
        <v>23.98454945983464</v>
      </c>
      <c r="N27" s="8" t="n">
        <v>21085.8225</v>
      </c>
      <c r="O27" s="10" t="inlineStr">
        <is>
          <t>淨利 +$2.30B
經常 +$3.05B
一次: 無重大</t>
        </is>
      </c>
      <c r="P27" s="10" t="inlineStr">
        <is>
          <t>淨利 +$2.40B
經常 +$2.66B
一次: 無重大</t>
        </is>
      </c>
      <c r="Q27" s="10" t="inlineStr">
        <is>
          <t>淨利 +$2.55B
經常 +$3.08B
一次: 無重大</t>
        </is>
      </c>
      <c r="R27" s="10" t="inlineStr">
        <is>
          <t>淨利 +$3.59B
經常 +$4.29B
一次: 無重大</t>
        </is>
      </c>
      <c r="S27" s="11" t="n">
        <v>6.91633</v>
      </c>
      <c r="T27" s="9" t="n">
        <v>20.9073650391861</v>
      </c>
      <c r="U27" s="9" t="n">
        <v>17.49014262765905</v>
      </c>
      <c r="V27" s="9" t="n">
        <v>36.02200262863263</v>
      </c>
      <c r="W27" s="10" t="inlineStr">
        <is>
          <t>無重大</t>
        </is>
      </c>
      <c r="X27" s="10" t="inlineStr">
        <is>
          <t>四季皆正：+3,052 → +2,660 → +3,085 → +4,295（百萬）</t>
        </is>
      </c>
      <c r="Y27" s="10" t="inlineStr">
        <is>
          <t>四季營運皆正、最新季淨利為正 — 經常性已盈利</t>
        </is>
      </c>
      <c r="Z27" s="12" t="inlineStr">
        <is>
          <t>A</t>
        </is>
      </c>
      <c r="AA27" s="7" t="inlineStr">
        <is>
          <t>2026-06-30 / 2026-10-29</t>
        </is>
      </c>
    </row>
    <row r="28" ht="46" customHeight="1">
      <c r="A28" s="5" t="n">
        <v>27</v>
      </c>
      <c r="B28" s="6" t="inlineStr">
        <is>
          <t>HSBC</t>
        </is>
      </c>
      <c r="C28" s="7" t="inlineStr">
        <is>
          <t>HSBC Holdings plc</t>
        </is>
      </c>
      <c r="D28" s="7" t="inlineStr">
        <is>
          <t>Finance</t>
        </is>
      </c>
      <c r="E28" s="7" t="inlineStr">
        <is>
          <t>Banks - Diversified</t>
        </is>
      </c>
      <c r="F28" s="8" t="n">
        <v>368.1063045807207</v>
      </c>
      <c r="G28" s="5" t="inlineStr">
        <is>
          <t>USD</t>
        </is>
      </c>
      <c r="H28" s="7" t="inlineStr">
        <is>
          <t>2025-06-30 / 2025-09-30 / 2025-12-31 / 2026-03-31</t>
        </is>
      </c>
      <c r="I28" s="8" t="n">
        <v>17657</v>
      </c>
      <c r="J28" s="8" t="n">
        <v>17900</v>
      </c>
      <c r="K28" s="8" t="n">
        <v>17723</v>
      </c>
      <c r="L28" s="8" t="n">
        <v>19125</v>
      </c>
      <c r="M28" s="9" t="n">
        <v>7.80721533258173</v>
      </c>
      <c r="N28" s="8" t="n">
        <v>18421.713</v>
      </c>
      <c r="O28" s="10" t="inlineStr">
        <is>
          <t>淨利 +$4.58B
經常* +$8.51B
一次: -$2.18B（營收 12%）</t>
        </is>
      </c>
      <c r="P28" s="10" t="inlineStr">
        <is>
          <t>淨利 +$4.87B
經常* +$8.66B
一次: -$1.36B（營收 8%）</t>
        </is>
      </c>
      <c r="Q28" s="10" t="inlineStr">
        <is>
          <t>淨利 +$4.72B
經常* +$8.47B
一次: -$1.67B（營收 9%）</t>
        </is>
      </c>
      <c r="R28" s="10" t="inlineStr">
        <is>
          <t>淨利 +$6.94B
經常* +$9.91B
一次: -$535.7M（營收 3%）</t>
        </is>
      </c>
      <c r="S28" s="11" t="n">
        <v>2.04745</v>
      </c>
      <c r="T28" s="9" t="n">
        <v>51.82604444444444</v>
      </c>
      <c r="U28" s="9" t="n">
        <v>36.27712418300653</v>
      </c>
      <c r="V28" s="9" t="n"/>
      <c r="W28" s="10" t="inlineStr">
        <is>
          <t>-$535.7M・營收 2.8%</t>
        </is>
      </c>
      <c r="X28" s="10" t="inlineStr">
        <is>
          <t>四季皆正：+8,510 → +8,658 → +8,471 → +9,912（百萬）</t>
        </is>
      </c>
      <c r="Y28" s="10" t="inlineStr">
        <is>
          <t>四季營運皆正、最新季淨利為正 — 經常性已盈利</t>
        </is>
      </c>
      <c r="Z28" s="12" t="inlineStr">
        <is>
          <t>A</t>
        </is>
      </c>
      <c r="AA28" s="7" t="inlineStr">
        <is>
          <t>2026-03-31 / 2026-10-27</t>
        </is>
      </c>
    </row>
    <row r="29" ht="46" customHeight="1">
      <c r="A29" s="5" t="n">
        <v>28</v>
      </c>
      <c r="B29" s="6" t="inlineStr">
        <is>
          <t>AMAT</t>
        </is>
      </c>
      <c r="C29" s="7" t="inlineStr">
        <is>
          <t>Applied Materials, Inc.</t>
        </is>
      </c>
      <c r="D29" s="7" t="inlineStr">
        <is>
          <t>Technology</t>
        </is>
      </c>
      <c r="E29" s="7" t="inlineStr">
        <is>
          <t>Semiconductor Equipment &amp; Materials</t>
        </is>
      </c>
      <c r="F29" s="8" t="n">
        <v>360.8566933065399</v>
      </c>
      <c r="G29" s="5" t="inlineStr">
        <is>
          <t>USD</t>
        </is>
      </c>
      <c r="H29" s="7" t="inlineStr">
        <is>
          <t>2025-10-31 / 2026-01-31 / 2026-04-30 / 2026-07-31</t>
        </is>
      </c>
      <c r="I29" s="8" t="n">
        <v>6800</v>
      </c>
      <c r="J29" s="8" t="n">
        <v>7012</v>
      </c>
      <c r="K29" s="8" t="n">
        <v>7910</v>
      </c>
      <c r="L29" s="8" t="n">
        <v>9115</v>
      </c>
      <c r="M29" s="9" t="n">
        <v>24.82881402355519</v>
      </c>
      <c r="N29" s="8" t="n">
        <v>10717.87204</v>
      </c>
      <c r="O29" s="10" t="inlineStr">
        <is>
          <t>淨利 +$1.90B
經常 +$1.89B
一次: 無重大</t>
        </is>
      </c>
      <c r="P29" s="10" t="inlineStr">
        <is>
          <t>淨利 +$2.03B
經常 +$2.10B
一次: -$230.6M（營收 3%）</t>
        </is>
      </c>
      <c r="Q29" s="10" t="inlineStr">
        <is>
          <t>淨利 +$2.81B
經常 +$2.52B
一次: 無重大</t>
        </is>
      </c>
      <c r="R29" s="10" t="inlineStr">
        <is>
          <t>淨利 +$2.54B
經常 +$3.08B
一次: 無重大</t>
        </is>
      </c>
      <c r="S29" s="11" t="n">
        <v>4.19781</v>
      </c>
      <c r="T29" s="9" t="n">
        <v>33.73560065825562</v>
      </c>
      <c r="U29" s="9" t="n">
        <v>27.84421283598464</v>
      </c>
      <c r="V29" s="9" t="n">
        <v>50.31267142073506</v>
      </c>
      <c r="W29" s="10" t="inlineStr">
        <is>
          <t>無重大</t>
        </is>
      </c>
      <c r="X29" s="10" t="inlineStr">
        <is>
          <t>四季皆正：+1,893 → +2,096 → +2,523 → +3,075（百萬）</t>
        </is>
      </c>
      <c r="Y29" s="10" t="inlineStr">
        <is>
          <t>四季營運皆正、最新季淨利為正 — 經常性已盈利</t>
        </is>
      </c>
      <c r="Z29" s="12" t="inlineStr">
        <is>
          <t>A</t>
        </is>
      </c>
      <c r="AA29" s="7" t="inlineStr">
        <is>
          <t>2026-07-31 / 2026-11-12</t>
        </is>
      </c>
    </row>
    <row r="30" ht="46" customHeight="1">
      <c r="A30" s="5" t="n">
        <v>29</v>
      </c>
      <c r="B30" s="6" t="inlineStr">
        <is>
          <t>UNH</t>
        </is>
      </c>
      <c r="C30" s="7" t="inlineStr">
        <is>
          <t>UnitedHealth Group Incorporated</t>
        </is>
      </c>
      <c r="D30" s="7" t="inlineStr">
        <is>
          <t>Health Care</t>
        </is>
      </c>
      <c r="E30" s="7" t="inlineStr">
        <is>
          <t>Healthcare Plans</t>
        </is>
      </c>
      <c r="F30" s="8" t="n">
        <v>356.4708175374759</v>
      </c>
      <c r="G30" s="5" t="inlineStr">
        <is>
          <t>USD</t>
        </is>
      </c>
      <c r="H30" s="7" t="inlineStr">
        <is>
          <t>2025-09-30 / 2025-12-31 / 2026-03-31 / 2026-06-30</t>
        </is>
      </c>
      <c r="I30" s="8" t="n">
        <v>113161</v>
      </c>
      <c r="J30" s="8" t="n">
        <v>113215</v>
      </c>
      <c r="K30" s="8" t="n">
        <v>111721</v>
      </c>
      <c r="L30" s="8" t="n">
        <v>112032</v>
      </c>
      <c r="M30" s="9" t="n">
        <v>0.3727064220183429</v>
      </c>
      <c r="N30" s="8" t="n">
        <v>111282.10141</v>
      </c>
      <c r="O30" s="10" t="inlineStr">
        <is>
          <t>淨利 +$2.35B
經常 +$4.32B
一次: 無重大</t>
        </is>
      </c>
      <c r="P30" s="10" t="inlineStr">
        <is>
          <t>淨利 +$10.0M
經常 +$380.0M
一次: 無重大</t>
        </is>
      </c>
      <c r="Q30" s="10" t="inlineStr">
        <is>
          <t>淨利 +$6.28B
經常 +$8.99B
一次: 無重大</t>
        </is>
      </c>
      <c r="R30" s="10" t="inlineStr">
        <is>
          <t>淨利 +$5.48B
經常 +$7.99B
一次: 無重大</t>
        </is>
      </c>
      <c r="S30" s="11" t="n">
        <v>2.13627</v>
      </c>
      <c r="T30" s="9" t="n">
        <v>7.132783490431304</v>
      </c>
      <c r="U30" s="9" t="n">
        <v>4.89502999143102</v>
      </c>
      <c r="V30" s="9" t="n">
        <v>20.79673664667238</v>
      </c>
      <c r="W30" s="10" t="inlineStr">
        <is>
          <t>無重大</t>
        </is>
      </c>
      <c r="X30" s="10" t="inlineStr">
        <is>
          <t>四季皆正：+4,315 → +380 → +8,990 → +7,991（百萬）</t>
        </is>
      </c>
      <c r="Y30" s="10" t="inlineStr">
        <is>
          <t>四季營運皆正、最新季淨利為正 — 經常性已盈利</t>
        </is>
      </c>
      <c r="Z30" s="12" t="inlineStr">
        <is>
          <t>A</t>
        </is>
      </c>
      <c r="AA30" s="7" t="inlineStr">
        <is>
          <t>2026-06-30 / 2026-10-27</t>
        </is>
      </c>
    </row>
    <row r="31" ht="46" customHeight="1">
      <c r="A31" s="5" t="n">
        <v>30</v>
      </c>
      <c r="B31" s="6" t="inlineStr">
        <is>
          <t>MS</t>
        </is>
      </c>
      <c r="C31" s="7" t="inlineStr">
        <is>
          <t>Morgan Stanley</t>
        </is>
      </c>
      <c r="D31" s="7" t="inlineStr">
        <is>
          <t>Finance</t>
        </is>
      </c>
      <c r="E31" s="7" t="inlineStr">
        <is>
          <t>Capital Markets</t>
        </is>
      </c>
      <c r="F31" s="8" t="n">
        <v>341.9436930945625</v>
      </c>
      <c r="G31" s="5" t="inlineStr">
        <is>
          <t>USD</t>
        </is>
      </c>
      <c r="H31" s="7" t="inlineStr">
        <is>
          <t>2025-09-30 / 2025-12-31 / 2026-03-31 / 2026-06-30</t>
        </is>
      </c>
      <c r="I31" s="8" t="n">
        <v>17083</v>
      </c>
      <c r="J31" s="8" t="n">
        <v>16762</v>
      </c>
      <c r="K31" s="8" t="n">
        <v>19324</v>
      </c>
      <c r="L31" s="8" t="n">
        <v>19884</v>
      </c>
      <c r="M31" s="9" t="n">
        <v>27.42886439374519</v>
      </c>
      <c r="N31" s="8" t="n">
        <v>20448.23055</v>
      </c>
      <c r="O31" s="10" t="inlineStr">
        <is>
          <t>淨利 +$4.45B
經常* +$6.03B
一次: 無重大</t>
        </is>
      </c>
      <c r="P31" s="10" t="inlineStr">
        <is>
          <t>淨利 +$4.25B
經常* +$5.76B
一次: 無重大</t>
        </is>
      </c>
      <c r="Q31" s="10" t="inlineStr">
        <is>
          <t>淨利 +$5.41B
經常* +$7.15B
一次: 無重大</t>
        </is>
      </c>
      <c r="R31" s="10" t="inlineStr">
        <is>
          <t>淨利 +$5.44B
經常* +$7.35B
一次: 無重大</t>
        </is>
      </c>
      <c r="S31" s="11" t="n">
        <v>2.94339</v>
      </c>
      <c r="T31" s="9" t="n">
        <v>36.95433514383424</v>
      </c>
      <c r="U31" s="9" t="n">
        <v>27.33856366928184</v>
      </c>
      <c r="V31" s="9" t="n"/>
      <c r="W31" s="10" t="inlineStr">
        <is>
          <t>無重大</t>
        </is>
      </c>
      <c r="X31" s="10" t="inlineStr">
        <is>
          <t>四季皆正：+6,028 → +5,760 → +7,154 → +7,348（百萬）</t>
        </is>
      </c>
      <c r="Y31" s="10" t="inlineStr">
        <is>
          <t>四季營運皆正、最新季淨利為正 — 經常性已盈利</t>
        </is>
      </c>
      <c r="Z31" s="12" t="inlineStr">
        <is>
          <t>A</t>
        </is>
      </c>
      <c r="AA31" s="7" t="inlineStr">
        <is>
          <t>2026-06-30 / 2026-10-14</t>
        </is>
      </c>
    </row>
    <row r="32" ht="46" customHeight="1">
      <c r="A32" s="5" t="n">
        <v>31</v>
      </c>
      <c r="B32" s="6" t="inlineStr">
        <is>
          <t>DELL</t>
        </is>
      </c>
      <c r="C32" s="7" t="inlineStr">
        <is>
          <t>Dell Technologies Inc.</t>
        </is>
      </c>
      <c r="D32" s="7" t="inlineStr">
        <is>
          <t>Technology</t>
        </is>
      </c>
      <c r="E32" s="7" t="inlineStr">
        <is>
          <t>Computer Hardware</t>
        </is>
      </c>
      <c r="F32" s="8" t="n">
        <v>339.6993224031518</v>
      </c>
      <c r="G32" s="5" t="inlineStr">
        <is>
          <t>USD</t>
        </is>
      </c>
      <c r="H32" s="7" t="inlineStr">
        <is>
          <t>2025-07-31 / 2025-10-31 / 2026-01-31 / 2026-04-30</t>
        </is>
      </c>
      <c r="I32" s="8" t="n">
        <v>29776</v>
      </c>
      <c r="J32" s="8" t="n">
        <v>27005</v>
      </c>
      <c r="K32" s="8" t="n">
        <v>33379</v>
      </c>
      <c r="L32" s="8" t="n">
        <v>43842</v>
      </c>
      <c r="M32" s="9" t="n">
        <v>87.53528958850201</v>
      </c>
      <c r="N32" s="8" t="n">
        <v>53524.5721</v>
      </c>
      <c r="O32" s="10" t="inlineStr">
        <is>
          <t>淨利 +$1.16B
經常 +$1.77B
一次: 無重大</t>
        </is>
      </c>
      <c r="P32" s="10" t="inlineStr">
        <is>
          <t>淨利 +$1.55B
經常 +$2.17B
一次: 無重大</t>
        </is>
      </c>
      <c r="Q32" s="10" t="inlineStr">
        <is>
          <t>淨利 +$2.26B
經常 +$3.15B
一次: 無重大</t>
        </is>
      </c>
      <c r="R32" s="10" t="inlineStr">
        <is>
          <t>淨利 +$3.44B
經常 +$3.76B
一次: +$442.4M（營收 1%）</t>
        </is>
      </c>
      <c r="S32" s="11" t="n">
        <v>6.87486</v>
      </c>
      <c r="T32" s="9" t="n">
        <v>8.580812919118653</v>
      </c>
      <c r="U32" s="9" t="n">
        <v>7.841795538524702</v>
      </c>
      <c r="V32" s="9" t="n">
        <v>17.75010264130286</v>
      </c>
      <c r="W32" s="10" t="inlineStr">
        <is>
          <t>+$442.4M・營收 1.0%</t>
        </is>
      </c>
      <c r="X32" s="10" t="inlineStr">
        <is>
          <t>四季皆正：+1,773 → +2,168 → +3,145 → +3,762（百萬）</t>
        </is>
      </c>
      <c r="Y32" s="10" t="inlineStr">
        <is>
          <t>四季營運皆正、最新季淨利為正 — 經常性已盈利</t>
        </is>
      </c>
      <c r="Z32" s="12" t="inlineStr">
        <is>
          <t>A</t>
        </is>
      </c>
      <c r="AA32" s="7" t="inlineStr">
        <is>
          <t>2026-04-30 / 2026-11-27</t>
        </is>
      </c>
    </row>
    <row r="33" ht="46" customHeight="1">
      <c r="A33" s="5" t="n">
        <v>32</v>
      </c>
      <c r="B33" s="6" t="inlineStr">
        <is>
          <t>NFLX</t>
        </is>
      </c>
      <c r="C33" s="7" t="inlineStr">
        <is>
          <t>Netflix, Inc.</t>
        </is>
      </c>
      <c r="D33" s="7" t="inlineStr">
        <is>
          <t>Consumer Discretionary</t>
        </is>
      </c>
      <c r="E33" s="7" t="inlineStr">
        <is>
          <t>Entertainment</t>
        </is>
      </c>
      <c r="F33" s="8" t="n">
        <v>325.8282796465376</v>
      </c>
      <c r="G33" s="5" t="inlineStr">
        <is>
          <t>USD</t>
        </is>
      </c>
      <c r="H33" s="7" t="inlineStr">
        <is>
          <t>2025-09-30 / 2025-12-31 / 2026-03-31 / 2026-06-30</t>
        </is>
      </c>
      <c r="I33" s="8" t="n">
        <v>11510.307</v>
      </c>
      <c r="J33" s="8" t="n">
        <v>12050.762</v>
      </c>
      <c r="K33" s="8" t="n">
        <v>12249.757</v>
      </c>
      <c r="L33" s="8" t="n">
        <v>12559.938</v>
      </c>
      <c r="M33" s="9" t="n">
        <v>13.36537425289954</v>
      </c>
      <c r="N33" s="8" t="n">
        <v>13534.78601</v>
      </c>
      <c r="O33" s="10" t="inlineStr">
        <is>
          <t>淨利 +$2.55B
經常 +$3.25B
一次: 無重大</t>
        </is>
      </c>
      <c r="P33" s="10" t="inlineStr">
        <is>
          <t>淨利 +$2.42B
經常 +$2.96B
一次: 無重大</t>
        </is>
      </c>
      <c r="Q33" s="10" t="inlineStr">
        <is>
          <t>淨利 +$5.28B
經常 +$3.96B
一次: 無重大</t>
        </is>
      </c>
      <c r="R33" s="10" t="inlineStr">
        <is>
          <t>淨利 +$3.40B
經常 +$4.19B
一次: 無重大</t>
        </is>
      </c>
      <c r="S33" s="11" t="n">
        <v>0.72954</v>
      </c>
      <c r="T33" s="9" t="n">
        <v>33.38081764416353</v>
      </c>
      <c r="U33" s="9" t="n">
        <v>27.08145533839419</v>
      </c>
      <c r="V33" s="9" t="n">
        <v>51.93475477347101</v>
      </c>
      <c r="W33" s="10" t="inlineStr">
        <is>
          <t>無重大</t>
        </is>
      </c>
      <c r="X33" s="10" t="inlineStr">
        <is>
          <t>四季皆正：+3,248 → +2,957 → +3,957 → +4,193（百萬）</t>
        </is>
      </c>
      <c r="Y33" s="10" t="inlineStr">
        <is>
          <t>四季營運皆正、最新季淨利為正 — 經常性已盈利</t>
        </is>
      </c>
      <c r="Z33" s="12" t="inlineStr">
        <is>
          <t>A</t>
        </is>
      </c>
      <c r="AA33" s="7" t="inlineStr">
        <is>
          <t>2026-06-30 / 2026-10-20</t>
        </is>
      </c>
    </row>
    <row r="34" ht="46" customHeight="1">
      <c r="A34" s="5" t="n">
        <v>33</v>
      </c>
      <c r="B34" s="6" t="inlineStr">
        <is>
          <t>GS</t>
        </is>
      </c>
      <c r="C34" s="7" t="inlineStr">
        <is>
          <t>The Goldman Sachs Group, Inc.</t>
        </is>
      </c>
      <c r="D34" s="7" t="inlineStr">
        <is>
          <t>Finance</t>
        </is>
      </c>
      <c r="E34" s="7" t="inlineStr">
        <is>
          <t>Capital Markets</t>
        </is>
      </c>
      <c r="F34" s="8" t="n">
        <v>302.4135360625172</v>
      </c>
      <c r="G34" s="5" t="inlineStr">
        <is>
          <t>USD</t>
        </is>
      </c>
      <c r="H34" s="7" t="inlineStr">
        <is>
          <t>2025-06-30 / 2025-09-30 / 2025-12-31 / 2026-03-31</t>
        </is>
      </c>
      <c r="I34" s="8" t="n">
        <v>14583</v>
      </c>
      <c r="J34" s="8" t="n">
        <v>15184</v>
      </c>
      <c r="K34" s="8" t="n">
        <v>13454</v>
      </c>
      <c r="L34" s="8" t="n">
        <v>17227</v>
      </c>
      <c r="M34" s="9" t="n">
        <v>14.37392112601248</v>
      </c>
      <c r="N34" s="8" t="n">
        <v>17223.63643</v>
      </c>
      <c r="O34" s="10" t="inlineStr">
        <is>
          <t>淨利 +$3.47B
經常* +$4.96B
一次: 無重大</t>
        </is>
      </c>
      <c r="P34" s="10" t="inlineStr">
        <is>
          <t>淨利 +$3.86B
經常* +$5.49B
一次: 無重大</t>
        </is>
      </c>
      <c r="Q34" s="10" t="inlineStr">
        <is>
          <t>淨利 +$4.38B
經常* +$6.07B
一次: -$219.2M（營收 2%）</t>
        </is>
      </c>
      <c r="R34" s="10" t="inlineStr">
        <is>
          <t>淨利 +$5.40B
經常* +$6.52B
一次: 無重大</t>
        </is>
      </c>
      <c r="S34" s="11" t="n">
        <v>15.65999</v>
      </c>
      <c r="T34" s="9" t="n">
        <v>37.86182727273362</v>
      </c>
      <c r="U34" s="9" t="n">
        <v>31.3635572067104</v>
      </c>
      <c r="V34" s="9" t="n"/>
      <c r="W34" s="10" t="inlineStr">
        <is>
          <t>無重大</t>
        </is>
      </c>
      <c r="X34" s="10" t="inlineStr">
        <is>
          <t>四季皆正：+4,959 → +5,492 → +6,074 → +6,522（百萬）</t>
        </is>
      </c>
      <c r="Y34" s="10" t="inlineStr">
        <is>
          <t>四季營運皆正、最新季淨利為正 — 經常性已盈利</t>
        </is>
      </c>
      <c r="Z34" s="12" t="inlineStr">
        <is>
          <t>A</t>
        </is>
      </c>
      <c r="AA34" s="7" t="inlineStr">
        <is>
          <t>2026-03-31 / 2026-10-13</t>
        </is>
      </c>
    </row>
    <row r="35" ht="46" customHeight="1">
      <c r="A35" s="5" t="n">
        <v>34</v>
      </c>
      <c r="B35" s="6" t="inlineStr">
        <is>
          <t>RTX</t>
        </is>
      </c>
      <c r="C35" s="7" t="inlineStr">
        <is>
          <t>RTX Corporation</t>
        </is>
      </c>
      <c r="D35" s="7" t="inlineStr">
        <is>
          <t>Industrials</t>
        </is>
      </c>
      <c r="E35" s="7" t="inlineStr">
        <is>
          <t>Aerospace &amp; Defense</t>
        </is>
      </c>
      <c r="F35" s="8" t="n">
        <v>270.6163577338399</v>
      </c>
      <c r="G35" s="5" t="inlineStr">
        <is>
          <t>USD</t>
        </is>
      </c>
      <c r="H35" s="7" t="inlineStr">
        <is>
          <t>2025-09-30 / 2025-12-31 / 2026-03-31 / 2026-06-30</t>
        </is>
      </c>
      <c r="I35" s="8" t="n">
        <v>22478</v>
      </c>
      <c r="J35" s="8" t="n">
        <v>24238</v>
      </c>
      <c r="K35" s="8" t="n">
        <v>22076</v>
      </c>
      <c r="L35" s="8" t="n">
        <v>24708</v>
      </c>
      <c r="M35" s="9" t="n">
        <v>14.48959733098558</v>
      </c>
      <c r="N35" s="8" t="n">
        <v>25499.42575</v>
      </c>
      <c r="O35" s="10" t="inlineStr">
        <is>
          <t>淨利 +$1.92B
經常 +$2.52B
一次: 無重大</t>
        </is>
      </c>
      <c r="P35" s="10" t="inlineStr">
        <is>
          <t>淨利 +$1.62B
經常 +$2.60B
一次: 無重大</t>
        </is>
      </c>
      <c r="Q35" s="10" t="inlineStr">
        <is>
          <t>淨利 +$2.06B
經常 +$2.56B
一次: 無重大</t>
        </is>
      </c>
      <c r="R35" s="10" t="inlineStr">
        <is>
          <t>淨利 +$2.14B
經常 +$2.81B
一次: 無重大</t>
        </is>
      </c>
      <c r="S35" s="11" t="n">
        <v>1.82618</v>
      </c>
      <c r="T35" s="9" t="n">
        <v>11.37688198154444</v>
      </c>
      <c r="U35" s="9" t="n">
        <v>8.657115104419621</v>
      </c>
      <c r="V35" s="9" t="n">
        <v>20.77464788732394</v>
      </c>
      <c r="W35" s="10" t="inlineStr">
        <is>
          <t>無重大</t>
        </is>
      </c>
      <c r="X35" s="10" t="inlineStr">
        <is>
          <t>四季皆正：+2,523 → +2,596 → +2,555 → +2,811（百萬）</t>
        </is>
      </c>
      <c r="Y35" s="10" t="inlineStr">
        <is>
          <t>四季營運皆正、最新季淨利為正 — 經常性已盈利</t>
        </is>
      </c>
      <c r="Z35" s="12" t="inlineStr">
        <is>
          <t>A</t>
        </is>
      </c>
      <c r="AA35" s="7" t="inlineStr">
        <is>
          <t>2026-06-30 / 2026-10-20</t>
        </is>
      </c>
    </row>
    <row r="36" ht="46" customHeight="1">
      <c r="A36" s="5" t="n">
        <v>35</v>
      </c>
      <c r="B36" s="6" t="inlineStr">
        <is>
          <t>ARM</t>
        </is>
      </c>
      <c r="C36" s="7" t="inlineStr">
        <is>
          <t>Arm Holdings plc</t>
        </is>
      </c>
      <c r="D36" s="7" t="inlineStr">
        <is>
          <t>Technology</t>
        </is>
      </c>
      <c r="E36" s="7" t="inlineStr">
        <is>
          <t>Semiconductors</t>
        </is>
      </c>
      <c r="F36" s="8" t="n">
        <v>268.2376884762241</v>
      </c>
      <c r="G36" s="5" t="inlineStr">
        <is>
          <t>USD</t>
        </is>
      </c>
      <c r="H36" s="7" t="inlineStr">
        <is>
          <t>2025-09-30 / 2025-12-31 / 2026-03-31 / 2026-06-30</t>
        </is>
      </c>
      <c r="I36" s="8" t="n">
        <v>1135</v>
      </c>
      <c r="J36" s="8" t="n">
        <v>1242</v>
      </c>
      <c r="K36" s="8" t="n">
        <v>1490</v>
      </c>
      <c r="L36" s="8" t="n">
        <v>1289</v>
      </c>
      <c r="M36" s="9" t="n">
        <v>22.41215574548907</v>
      </c>
      <c r="N36" s="8" t="n">
        <v>1527.13783</v>
      </c>
      <c r="O36" s="10" t="inlineStr">
        <is>
          <t>淨利 +$238.0M
經常 +$163.0M
一次: -$12.6M（營收 1%）</t>
        </is>
      </c>
      <c r="P36" s="10" t="inlineStr">
        <is>
          <t>淨利 +$223.0M
經常 +$191.0M
一次: 無重大</t>
        </is>
      </c>
      <c r="Q36" s="10" t="inlineStr">
        <is>
          <t>淨利 +$313.0M
經常 +$440.0M
一次: 無重大</t>
        </is>
      </c>
      <c r="R36" s="10" t="inlineStr">
        <is>
          <t>淨利 +$270.0M
經常 +$98.0M
一次: +$72.6M（營收 6%）</t>
        </is>
      </c>
      <c r="S36" s="11" t="n">
        <v>0.55213</v>
      </c>
      <c r="T36" s="9" t="n">
        <v>7.602792862684252</v>
      </c>
      <c r="U36" s="9" t="n">
        <v>20.94647013188519</v>
      </c>
      <c r="V36" s="9" t="n">
        <v>97.20713731574864</v>
      </c>
      <c r="W36" s="10" t="inlineStr">
        <is>
          <t>+$72.6M・營收 5.6%</t>
        </is>
      </c>
      <c r="X36" s="10" t="inlineStr">
        <is>
          <t>四季皆正：+163 → +191 → +440 → +98（百萬）</t>
        </is>
      </c>
      <c r="Y36" s="10" t="inlineStr">
        <is>
          <t>四季營運皆正、最新季淨利為正 — 經常性已盈利</t>
        </is>
      </c>
      <c r="Z36" s="12" t="inlineStr">
        <is>
          <t>A</t>
        </is>
      </c>
      <c r="AA36" s="7" t="inlineStr">
        <is>
          <t>2026-06-30 / 2026-11-04</t>
        </is>
      </c>
    </row>
    <row r="37" ht="46" customHeight="1">
      <c r="A37" s="5" t="n">
        <v>36</v>
      </c>
      <c r="B37" s="6" t="inlineStr">
        <is>
          <t>GEV</t>
        </is>
      </c>
      <c r="C37" s="7" t="inlineStr">
        <is>
          <t>GE Vernova Inc.</t>
        </is>
      </c>
      <c r="D37" s="7" t="inlineStr">
        <is>
          <t>Technology</t>
        </is>
      </c>
      <c r="E37" s="7" t="inlineStr">
        <is>
          <t>Specialty Industrial Machinery</t>
        </is>
      </c>
      <c r="F37" s="8" t="n">
        <v>250.8729166228221</v>
      </c>
      <c r="G37" s="5" t="inlineStr">
        <is>
          <t>USD</t>
        </is>
      </c>
      <c r="H37" s="7" t="inlineStr">
        <is>
          <t>2025-09-30 / 2025-12-31 / 2026-03-31 / 2026-06-30</t>
        </is>
      </c>
      <c r="I37" s="8" t="n">
        <v>9969</v>
      </c>
      <c r="J37" s="8" t="n">
        <v>10956</v>
      </c>
      <c r="K37" s="8" t="n">
        <v>9338</v>
      </c>
      <c r="L37" s="8" t="n">
        <v>11104</v>
      </c>
      <c r="M37" s="9" t="n">
        <v>21.8746570080123</v>
      </c>
      <c r="N37" s="8" t="n">
        <v>13875.78927</v>
      </c>
      <c r="O37" s="10" t="inlineStr">
        <is>
          <t>淨利 +$452.0M
經常 +$367.0M
一次: 無重大</t>
        </is>
      </c>
      <c r="P37" s="10" t="inlineStr">
        <is>
          <t>淨利 +$3.66B
經常 +$602.0M
一次: 無重大</t>
        </is>
      </c>
      <c r="Q37" s="10" t="inlineStr">
        <is>
          <t>淨利 +$4.75B
經常 +$179.0M
一次: +$4.10B（營收 44%）</t>
        </is>
      </c>
      <c r="R37" s="10" t="inlineStr">
        <is>
          <t>淨利 +$668.0M
經常 +$655.0M
一次: 無重大</t>
        </is>
      </c>
      <c r="S37" s="11" t="n">
        <v>6.43708</v>
      </c>
      <c r="T37" s="9" t="n">
        <v>5.898775216138328</v>
      </c>
      <c r="U37" s="9" t="n">
        <v>6.015850144092219</v>
      </c>
      <c r="V37" s="9" t="n">
        <v>21.26260806916427</v>
      </c>
      <c r="W37" s="10" t="inlineStr">
        <is>
          <t>無重大</t>
        </is>
      </c>
      <c r="X37" s="10" t="inlineStr">
        <is>
          <t>四季皆正：+367 → +602 → +179 → +655（百萬）</t>
        </is>
      </c>
      <c r="Y37" s="10" t="inlineStr">
        <is>
          <t>四季營運皆正、最新季淨利為正 — 經常性已盈利</t>
        </is>
      </c>
      <c r="Z37" s="12" t="inlineStr">
        <is>
          <t>A</t>
        </is>
      </c>
      <c r="AA37" s="7" t="inlineStr">
        <is>
          <t>2026-06-30 / 2026-10-28</t>
        </is>
      </c>
    </row>
    <row r="38" ht="46" customHeight="1">
      <c r="A38" s="5" t="n">
        <v>37</v>
      </c>
      <c r="B38" s="6" t="inlineStr">
        <is>
          <t>ANET</t>
        </is>
      </c>
      <c r="C38" s="7" t="inlineStr">
        <is>
          <t>Arista Networks, Inc.</t>
        </is>
      </c>
      <c r="D38" s="7" t="inlineStr">
        <is>
          <t>Telecommunications</t>
        </is>
      </c>
      <c r="E38" s="7" t="inlineStr">
        <is>
          <t>Computer Hardware</t>
        </is>
      </c>
      <c r="F38" s="8" t="n">
        <v>244.4001122892417</v>
      </c>
      <c r="G38" s="5" t="inlineStr">
        <is>
          <t>USD</t>
        </is>
      </c>
      <c r="H38" s="7" t="inlineStr">
        <is>
          <t>2025-09-30 / 2025-12-31 / 2026-03-31 / 2026-06-30</t>
        </is>
      </c>
      <c r="I38" s="8" t="n">
        <v>2308.3</v>
      </c>
      <c r="J38" s="8" t="n">
        <v>2487.8</v>
      </c>
      <c r="K38" s="8" t="n">
        <v>2709</v>
      </c>
      <c r="L38" s="8" t="n">
        <v>3035.7</v>
      </c>
      <c r="M38" s="9" t="n">
        <v>37.6859579100145</v>
      </c>
      <c r="N38" s="8" t="n">
        <v>3586.03152</v>
      </c>
      <c r="O38" s="10" t="inlineStr">
        <is>
          <t>淨利 +$853.0M
經常 +$978.2M
一次: 無重大</t>
        </is>
      </c>
      <c r="P38" s="10" t="inlineStr">
        <is>
          <t>淨利 +$955.8M
經常 +$1.03B
一次: 無重大</t>
        </is>
      </c>
      <c r="Q38" s="10" t="inlineStr">
        <is>
          <t>淨利 +$1.02B
經常 +$1.16B
一次: 無重大</t>
        </is>
      </c>
      <c r="R38" s="10" t="inlineStr">
        <is>
          <t>淨利 +$1.21B
經常 +$1.38B
一次: 無重大</t>
        </is>
      </c>
      <c r="S38" s="11" t="n">
        <v>1.148</v>
      </c>
      <c r="T38" s="9" t="n">
        <v>45.39315479131667</v>
      </c>
      <c r="U38" s="9" t="n">
        <v>39.95454096254571</v>
      </c>
      <c r="V38" s="9" t="n">
        <v>62.92782554270844</v>
      </c>
      <c r="W38" s="10" t="inlineStr">
        <is>
          <t>無重大</t>
        </is>
      </c>
      <c r="X38" s="10" t="inlineStr">
        <is>
          <t>四季皆正：+978 → +1,033 → +1,158 → +1,378（百萬）</t>
        </is>
      </c>
      <c r="Y38" s="10" t="inlineStr">
        <is>
          <t>四季營運皆正、最新季淨利為正 — 經常性已盈利</t>
        </is>
      </c>
      <c r="Z38" s="12" t="inlineStr">
        <is>
          <t>A</t>
        </is>
      </c>
      <c r="AA38" s="7" t="inlineStr">
        <is>
          <t>2026-06-30 / 2026-11-03</t>
        </is>
      </c>
    </row>
    <row r="39" ht="46" customHeight="1">
      <c r="A39" s="5" t="n">
        <v>38</v>
      </c>
      <c r="B39" s="6" t="inlineStr">
        <is>
          <t>KLAC</t>
        </is>
      </c>
      <c r="C39" s="7" t="inlineStr">
        <is>
          <t>KLA Corporation</t>
        </is>
      </c>
      <c r="D39" s="7" t="inlineStr">
        <is>
          <t>Technology</t>
        </is>
      </c>
      <c r="E39" s="7" t="inlineStr">
        <is>
          <t>Semiconductor Equipment &amp; Materials</t>
        </is>
      </c>
      <c r="F39" s="8" t="n">
        <v>242.4950829243111</v>
      </c>
      <c r="G39" s="5" t="inlineStr">
        <is>
          <t>USD</t>
        </is>
      </c>
      <c r="H39" s="7" t="inlineStr">
        <is>
          <t>2025-09-30 / 2025-12-31 / 2026-03-31 / 2026-06-30</t>
        </is>
      </c>
      <c r="I39" s="8" t="n">
        <v>3209.696</v>
      </c>
      <c r="J39" s="8" t="n">
        <v>3297.146</v>
      </c>
      <c r="K39" s="8" t="n">
        <v>3415.078</v>
      </c>
      <c r="L39" s="8" t="n">
        <v>3657.556</v>
      </c>
      <c r="M39" s="9" t="n">
        <v>15.20801224414843</v>
      </c>
      <c r="N39" s="8" t="n">
        <v>4494.60621</v>
      </c>
      <c r="O39" s="10" t="inlineStr">
        <is>
          <t>淨利 +$1.12B
經常 +$1.34B
一次: 無重大</t>
        </is>
      </c>
      <c r="P39" s="10" t="inlineStr">
        <is>
          <t>淨利 +$1.15B
經常 +$1.36B
一次: 無重大</t>
        </is>
      </c>
      <c r="Q39" s="10" t="inlineStr">
        <is>
          <t>淨利 +$1.20B
經常 +$1.41B
一次: 無重大</t>
        </is>
      </c>
      <c r="R39" s="10" t="inlineStr">
        <is>
          <t>淨利 +$1.36B
經常 +$1.55B
一次: 無重大</t>
        </is>
      </c>
      <c r="S39" s="11" t="n">
        <v>1.36058</v>
      </c>
      <c r="T39" s="9" t="n">
        <v>42.48596603852409</v>
      </c>
      <c r="U39" s="9" t="n">
        <v>37.26693453223956</v>
      </c>
      <c r="V39" s="9" t="n">
        <v>61.36469270737071</v>
      </c>
      <c r="W39" s="10" t="inlineStr">
        <is>
          <t>無重大</t>
        </is>
      </c>
      <c r="X39" s="10" t="inlineStr">
        <is>
          <t>四季皆正：+1,337 → +1,362 → +1,408 → +1,554（百萬）</t>
        </is>
      </c>
      <c r="Y39" s="10" t="inlineStr">
        <is>
          <t>四季營運皆正、最新季淨利為正 — 經常性已盈利</t>
        </is>
      </c>
      <c r="Z39" s="12" t="inlineStr">
        <is>
          <t>A</t>
        </is>
      </c>
      <c r="AA39" s="7" t="inlineStr">
        <is>
          <t>2026-06-30 / 2026-10-28</t>
        </is>
      </c>
    </row>
    <row r="40" ht="46" customHeight="1">
      <c r="A40" s="5" t="n">
        <v>39</v>
      </c>
      <c r="B40" s="6" t="inlineStr">
        <is>
          <t>AXP</t>
        </is>
      </c>
      <c r="C40" s="7" t="inlineStr">
        <is>
          <t>American Express Company</t>
        </is>
      </c>
      <c r="D40" s="7" t="inlineStr">
        <is>
          <t>Finance</t>
        </is>
      </c>
      <c r="E40" s="7" t="inlineStr">
        <is>
          <t>Credit Services</t>
        </is>
      </c>
      <c r="F40" s="8" t="n">
        <v>220.2590551311853</v>
      </c>
      <c r="G40" s="5" t="inlineStr">
        <is>
          <t>USD</t>
        </is>
      </c>
      <c r="H40" s="7" t="inlineStr">
        <is>
          <t>2025-09-30 / 2025-12-31 / 2026-03-31 / 2026-06-30</t>
        </is>
      </c>
      <c r="I40" s="8" t="n">
        <v>18426</v>
      </c>
      <c r="J40" s="8" t="n">
        <v>18981</v>
      </c>
      <c r="K40" s="8" t="n">
        <v>18908</v>
      </c>
      <c r="L40" s="8" t="n">
        <v>19637</v>
      </c>
      <c r="M40" s="9" t="n">
        <v>9.974238351254483</v>
      </c>
      <c r="N40" s="8" t="n">
        <v>20852.92975</v>
      </c>
      <c r="O40" s="10" t="inlineStr">
        <is>
          <t>淨利 +$2.87B
經常* +$3.83B
一次: 無重大</t>
        </is>
      </c>
      <c r="P40" s="10" t="inlineStr">
        <is>
          <t>淨利 +$2.43B
經常* +$3.17B
一次: 無重大</t>
        </is>
      </c>
      <c r="Q40" s="10" t="inlineStr">
        <is>
          <t>淨利 +$2.94B
經常* +$3.78B
一次: 無重大</t>
        </is>
      </c>
      <c r="R40" s="10" t="inlineStr">
        <is>
          <t>淨利 +$3.08B
經常* +$4.07B
一次: 無重大</t>
        </is>
      </c>
      <c r="S40" s="11" t="n">
        <v>4.28596</v>
      </c>
      <c r="T40" s="9" t="n">
        <v>20.7312725976473</v>
      </c>
      <c r="U40" s="9" t="n">
        <v>15.66430717523043</v>
      </c>
      <c r="V40" s="9" t="n"/>
      <c r="W40" s="10" t="inlineStr">
        <is>
          <t>無重大</t>
        </is>
      </c>
      <c r="X40" s="10" t="inlineStr">
        <is>
          <t>四季皆正：+3,825 → +3,166 → +3,778 → +4,071（百萬）</t>
        </is>
      </c>
      <c r="Y40" s="10" t="inlineStr">
        <is>
          <t>四季營運皆正、最新季淨利為正 — 經常性已盈利</t>
        </is>
      </c>
      <c r="Z40" s="12" t="inlineStr">
        <is>
          <t>A</t>
        </is>
      </c>
      <c r="AA40" s="7" t="inlineStr">
        <is>
          <t>2026-06-30 / 2026-10-23</t>
        </is>
      </c>
    </row>
    <row r="41" ht="46" customHeight="1">
      <c r="A41" s="5" t="n">
        <v>40</v>
      </c>
      <c r="B41" s="6" t="inlineStr">
        <is>
          <t>CRM</t>
        </is>
      </c>
      <c r="C41" s="7" t="inlineStr">
        <is>
          <t>Salesforce, Inc.</t>
        </is>
      </c>
      <c r="D41" s="7" t="inlineStr">
        <is>
          <t>Technology</t>
        </is>
      </c>
      <c r="E41" s="7" t="inlineStr">
        <is>
          <t>Software - Application</t>
        </is>
      </c>
      <c r="F41" s="8" t="n">
        <v>213.34629</v>
      </c>
      <c r="G41" s="5" t="inlineStr">
        <is>
          <t>USD</t>
        </is>
      </c>
      <c r="H41" s="7" t="inlineStr">
        <is>
          <t>2025-10-31 / 2026-01-31 / 2026-04-30 / 2026-07-31</t>
        </is>
      </c>
      <c r="I41" s="8" t="n">
        <v>10259</v>
      </c>
      <c r="J41" s="8" t="n">
        <v>11201</v>
      </c>
      <c r="K41" s="8" t="n">
        <v>11133</v>
      </c>
      <c r="L41" s="8" t="n">
        <v>11345</v>
      </c>
      <c r="M41" s="9" t="n">
        <v>10.83431027745212</v>
      </c>
      <c r="N41" s="8" t="n">
        <v>12340.61215</v>
      </c>
      <c r="O41" s="10" t="inlineStr">
        <is>
          <t>淨利 +$2.09B
經常 +$2.45B
一次: 無重大</t>
        </is>
      </c>
      <c r="P41" s="10" t="inlineStr">
        <is>
          <t>淨利 +$1.94B
經常 +$2.15B
一次: +$388.2M（營收 3%）</t>
        </is>
      </c>
      <c r="Q41" s="10" t="inlineStr">
        <is>
          <t>淨利 +$2.11B
經常 +$2.43B
一次: +$368.1M（營收 3%）</t>
        </is>
      </c>
      <c r="R41" s="10" t="inlineStr">
        <is>
          <t>淨利 +$3.53B
經常 +$2.42B
一次: +$1.94B（營收 17%）</t>
        </is>
      </c>
      <c r="S41" s="11" t="n">
        <v>3.55885</v>
      </c>
      <c r="T41" s="9" t="n">
        <v>21.37505509034817</v>
      </c>
      <c r="U41" s="9" t="n">
        <v>31.07977082415161</v>
      </c>
      <c r="V41" s="9" t="n">
        <v>76.65050683120317</v>
      </c>
      <c r="W41" s="10" t="inlineStr">
        <is>
          <t>+$1.94B・營收 17.1%</t>
        </is>
      </c>
      <c r="X41" s="10" t="inlineStr">
        <is>
          <t>四季皆正：+2,448 → +2,155 → +2,427 → +2,425（百萬）</t>
        </is>
      </c>
      <c r="Y41" s="10" t="inlineStr">
        <is>
          <t>四季營運皆正、最新季淨利為正 — 經常性已盈利</t>
        </is>
      </c>
      <c r="Z41" s="12" t="inlineStr">
        <is>
          <t>A</t>
        </is>
      </c>
      <c r="AA41" s="7" t="inlineStr">
        <is>
          <t>2026-07-31 / 2026-12-02</t>
        </is>
      </c>
    </row>
    <row r="42" ht="46" customHeight="1">
      <c r="A42" s="5" t="n">
        <v>41</v>
      </c>
      <c r="B42" s="6" t="inlineStr">
        <is>
          <t>TD</t>
        </is>
      </c>
      <c r="C42" s="7" t="inlineStr">
        <is>
          <t>The Toronto-Dominion Bank</t>
        </is>
      </c>
      <c r="D42" s="7" t="inlineStr">
        <is>
          <t>Finance</t>
        </is>
      </c>
      <c r="E42" s="7" t="inlineStr">
        <is>
          <t>Banks - Diversified</t>
        </is>
      </c>
      <c r="F42" s="8" t="n">
        <v>199.27822711</v>
      </c>
      <c r="G42" s="5" t="inlineStr">
        <is>
          <t>CAD</t>
        </is>
      </c>
      <c r="H42" s="7" t="inlineStr">
        <is>
          <t>2025-10-31 / 2026-01-31 / 2026-04-30 / 2026-07-31</t>
        </is>
      </c>
      <c r="I42" s="8" t="n">
        <v>15894</v>
      </c>
      <c r="J42" s="8" t="n">
        <v>16501</v>
      </c>
      <c r="K42" s="8" t="n">
        <v>15900</v>
      </c>
      <c r="L42" s="8" t="n">
        <v>16777</v>
      </c>
      <c r="M42" s="9" t="n">
        <v>8.364552383413004</v>
      </c>
      <c r="N42" s="8" t="n">
        <v>15622.05117</v>
      </c>
      <c r="O42" s="10" t="inlineStr">
        <is>
          <t>淨利 +C$3.09B
經常* +C$4.74B
一次: -C$637.3M（營收 4%）</t>
        </is>
      </c>
      <c r="P42" s="10" t="inlineStr">
        <is>
          <t>淨利 +C$3.94B
經常* +C$5.33B
一次: 無重大</t>
        </is>
      </c>
      <c r="Q42" s="10" t="inlineStr">
        <is>
          <t>淨利 +C$4.05B
經常* +C$5.22B
一次: -C$198.0M（營收 1%）</t>
        </is>
      </c>
      <c r="R42" s="10" t="inlineStr">
        <is>
          <t>淨利 +C$4.52B
經常* +C$5.87B
一次: 無重大</t>
        </is>
      </c>
      <c r="S42" s="11" t="n">
        <v>2.72797</v>
      </c>
      <c r="T42" s="9" t="n">
        <v>34.99707337426238</v>
      </c>
      <c r="U42" s="9" t="n">
        <v>26.94760684270132</v>
      </c>
      <c r="V42" s="9" t="n"/>
      <c r="W42" s="10" t="inlineStr">
        <is>
          <t>無重大</t>
        </is>
      </c>
      <c r="X42" s="10" t="inlineStr">
        <is>
          <t>四季皆正：+4,739 → +5,327 → +5,224 → +5,871（百萬）</t>
        </is>
      </c>
      <c r="Y42" s="10" t="inlineStr">
        <is>
          <t>四季營運皆正、最新季淨利為正 — 經常性已盈利</t>
        </is>
      </c>
      <c r="Z42" s="12" t="inlineStr">
        <is>
          <t>A</t>
        </is>
      </c>
      <c r="AA42" s="7" t="inlineStr">
        <is>
          <t>2026-07-31 / 2026-12-03</t>
        </is>
      </c>
    </row>
    <row r="43" ht="46" customHeight="1">
      <c r="A43" s="5" t="n">
        <v>42</v>
      </c>
      <c r="B43" s="6" t="inlineStr">
        <is>
          <t>MRVL</t>
        </is>
      </c>
      <c r="C43" s="7" t="inlineStr">
        <is>
          <t>Marvell Technology, Inc.</t>
        </is>
      </c>
      <c r="D43" s="7" t="inlineStr">
        <is>
          <t>Technology</t>
        </is>
      </c>
      <c r="E43" s="7" t="inlineStr">
        <is>
          <t>Semiconductors</t>
        </is>
      </c>
      <c r="F43" s="8" t="n">
        <v>196.030995</v>
      </c>
      <c r="G43" s="5" t="inlineStr">
        <is>
          <t>USD</t>
        </is>
      </c>
      <c r="H43" s="7" t="inlineStr">
        <is>
          <t>2025-10-31 / 2026-01-31 / 2026-04-30 / 2026-07-31</t>
        </is>
      </c>
      <c r="I43" s="8" t="n">
        <v>2074.5</v>
      </c>
      <c r="J43" s="8" t="n">
        <v>2218.7</v>
      </c>
      <c r="K43" s="8" t="n">
        <v>2417.8</v>
      </c>
      <c r="L43" s="8" t="n">
        <v>2739.3</v>
      </c>
      <c r="M43" s="9" t="n">
        <v>36.54852699267237</v>
      </c>
      <c r="N43" s="8" t="n">
        <v>3717.51432</v>
      </c>
      <c r="O43" s="10" t="inlineStr">
        <is>
          <t>淨利 +$1.90B
經常 +$367.4M
一次: 無重大</t>
        </is>
      </c>
      <c r="P43" s="10" t="inlineStr">
        <is>
          <t>淨利 +$396.1M
經常 +$413.9M
一次: 無重大</t>
        </is>
      </c>
      <c r="Q43" s="10" t="inlineStr">
        <is>
          <t>淨利 +$34.5M
經常 +$350.1M
一次: 無重大</t>
        </is>
      </c>
      <c r="R43" s="10" t="inlineStr">
        <is>
          <t>淨利 +$308.0M
經常 +$456.9M
一次: 無重大</t>
        </is>
      </c>
      <c r="S43" s="11" t="n">
        <v>1.35513</v>
      </c>
      <c r="T43" s="9" t="n">
        <v>16.67944365348811</v>
      </c>
      <c r="U43" s="9" t="n">
        <v>11.24374840287665</v>
      </c>
      <c r="V43" s="9" t="n">
        <v>53.13766290658196</v>
      </c>
      <c r="W43" s="10" t="inlineStr">
        <is>
          <t>無重大</t>
        </is>
      </c>
      <c r="X43" s="10" t="inlineStr">
        <is>
          <t>四季皆正：+367 → +414 → +350 → +457（百萬）</t>
        </is>
      </c>
      <c r="Y43" s="10" t="inlineStr">
        <is>
          <t>四季營運皆正、最新季淨利為正 — 經常性已盈利</t>
        </is>
      </c>
      <c r="Z43" s="12" t="inlineStr">
        <is>
          <t>A</t>
        </is>
      </c>
      <c r="AA43" s="7" t="inlineStr">
        <is>
          <t>2026-07-31 / 2026-12-01</t>
        </is>
      </c>
    </row>
    <row r="44" ht="46" customHeight="1">
      <c r="A44" s="5" t="n">
        <v>43</v>
      </c>
      <c r="B44" s="6" t="inlineStr">
        <is>
          <t>QCOM</t>
        </is>
      </c>
      <c r="C44" s="7" t="inlineStr">
        <is>
          <t>QUALCOMM Incorporated</t>
        </is>
      </c>
      <c r="D44" s="7" t="inlineStr">
        <is>
          <t>Technology</t>
        </is>
      </c>
      <c r="E44" s="7" t="inlineStr">
        <is>
          <t>Semiconductors</t>
        </is>
      </c>
      <c r="F44" s="8" t="n">
        <v>177.2164718292718</v>
      </c>
      <c r="G44" s="5" t="inlineStr">
        <is>
          <t>USD</t>
        </is>
      </c>
      <c r="H44" s="7" t="inlineStr">
        <is>
          <t>2025-09-30 / 2025-12-31 / 2026-03-31 / 2026-06-30</t>
        </is>
      </c>
      <c r="I44" s="8" t="n">
        <v>11271</v>
      </c>
      <c r="J44" s="8" t="n">
        <v>12252</v>
      </c>
      <c r="K44" s="8" t="n">
        <v>10599</v>
      </c>
      <c r="L44" s="8" t="n">
        <v>9947</v>
      </c>
      <c r="M44" s="9" t="n">
        <v>-4.032802701398941</v>
      </c>
      <c r="N44" s="8" t="n">
        <v>10585.31316</v>
      </c>
      <c r="O44" s="10" t="inlineStr">
        <is>
          <t>淨利 -$3.12B
經常 +$2.96B
一次: 無重大</t>
        </is>
      </c>
      <c r="P44" s="10" t="inlineStr">
        <is>
          <t>淨利 +$3.00B
經常 +$3.37B
一次: +$144.8M（營收 1%）</t>
        </is>
      </c>
      <c r="Q44" s="10" t="inlineStr">
        <is>
          <t>淨利 +$7.37B
經常 +$2.31B
一次: 無重大</t>
        </is>
      </c>
      <c r="R44" s="10" t="inlineStr">
        <is>
          <t>淨利 +$2.00B
經常 +$1.63B
一次: +$568.6M（營收 6%）</t>
        </is>
      </c>
      <c r="S44" s="11" t="n">
        <v>2.3003</v>
      </c>
      <c r="T44" s="9" t="n">
        <v>16.3466371770383</v>
      </c>
      <c r="U44" s="9" t="n">
        <v>20.12667135819845</v>
      </c>
      <c r="V44" s="9" t="n">
        <v>53.05117120739921</v>
      </c>
      <c r="W44" s="10" t="inlineStr">
        <is>
          <t>+$568.6M・營收 5.7%</t>
        </is>
      </c>
      <c r="X44" s="10" t="inlineStr">
        <is>
          <t>四季皆正：+2,957 → +3,366 → +2,309 → +1,626（百萬）</t>
        </is>
      </c>
      <c r="Y44" s="10" t="inlineStr">
        <is>
          <t>四季營運皆正、最新季淨利為正 — 經常性已盈利</t>
        </is>
      </c>
      <c r="Z44" s="12" t="inlineStr">
        <is>
          <t>A</t>
        </is>
      </c>
      <c r="AA44" s="7" t="inlineStr">
        <is>
          <t>2026-06-30 / 2026-10-29</t>
        </is>
      </c>
    </row>
    <row r="45" ht="46" customHeight="1">
      <c r="A45" s="5" t="n">
        <v>44</v>
      </c>
      <c r="B45" s="6" t="inlineStr">
        <is>
          <t>NEE</t>
        </is>
      </c>
      <c r="C45" s="7" t="inlineStr">
        <is>
          <t>NextEra Energy, Inc.</t>
        </is>
      </c>
      <c r="D45" s="7" t="inlineStr">
        <is>
          <t>Utilities</t>
        </is>
      </c>
      <c r="E45" s="7" t="inlineStr">
        <is>
          <t>Utilities - Regulated Electric</t>
        </is>
      </c>
      <c r="F45" s="8" t="n">
        <v>174.0331619768501</v>
      </c>
      <c r="G45" s="5" t="inlineStr">
        <is>
          <t>USD</t>
        </is>
      </c>
      <c r="H45" s="7" t="inlineStr">
        <is>
          <t>2025-09-30 / 2025-12-31 / 2026-03-31 / 2026-06-30</t>
        </is>
      </c>
      <c r="I45" s="8" t="n">
        <v>7966</v>
      </c>
      <c r="J45" s="8" t="n">
        <v>6500</v>
      </c>
      <c r="K45" s="8" t="n">
        <v>6701</v>
      </c>
      <c r="L45" s="8" t="n">
        <v>7534</v>
      </c>
      <c r="M45" s="9" t="n">
        <v>12.44776119402986</v>
      </c>
      <c r="N45" s="8" t="n">
        <v>7901.88853</v>
      </c>
      <c r="O45" s="10" t="inlineStr">
        <is>
          <t>淨利 +$2.44B
經常 +$2.38B
一次: +$254.4M（營收 3%）</t>
        </is>
      </c>
      <c r="P45" s="10" t="inlineStr">
        <is>
          <t>淨利 +$1.53B
經常 +$1.52B
一次: +$137.7M（營收 2%）</t>
        </is>
      </c>
      <c r="Q45" s="10" t="inlineStr">
        <is>
          <t>淨利 +$2.18B
經常 +$1.95B
一次: +$149.4M（營收 2%）</t>
        </is>
      </c>
      <c r="R45" s="10" t="inlineStr">
        <is>
          <t>淨利 +$3.14B
經常 +$2.28B
一次: +$187.8M（營收 2%）</t>
        </is>
      </c>
      <c r="S45" s="11" t="n">
        <v>0.62337</v>
      </c>
      <c r="T45" s="9" t="n">
        <v>30.22298911600743</v>
      </c>
      <c r="U45" s="9" t="n">
        <v>41.73082028139103</v>
      </c>
      <c r="V45" s="9" t="n">
        <v>62.39713299707991</v>
      </c>
      <c r="W45" s="10" t="inlineStr">
        <is>
          <t>+$187.8M・營收 2.5%</t>
        </is>
      </c>
      <c r="X45" s="10" t="inlineStr">
        <is>
          <t>四季皆正：+2,384 → +1,523 → +1,951 → +2,277（百萬）</t>
        </is>
      </c>
      <c r="Y45" s="10" t="inlineStr">
        <is>
          <t>四季營運皆正、最新季淨利為正 — 經常性已盈利</t>
        </is>
      </c>
      <c r="Z45" s="12" t="inlineStr">
        <is>
          <t>A</t>
        </is>
      </c>
      <c r="AA45" s="7" t="inlineStr">
        <is>
          <t>2026-06-30 / 2026-10-27</t>
        </is>
      </c>
    </row>
    <row r="46" ht="46" customHeight="1">
      <c r="A46" s="5" t="n">
        <v>45</v>
      </c>
      <c r="B46" s="6" t="inlineStr">
        <is>
          <t>UNP</t>
        </is>
      </c>
      <c r="C46" s="7" t="inlineStr">
        <is>
          <t>Union Pacific Corporation</t>
        </is>
      </c>
      <c r="D46" s="7" t="inlineStr">
        <is>
          <t>Industrials</t>
        </is>
      </c>
      <c r="E46" s="7" t="inlineStr">
        <is>
          <t>Railroads</t>
        </is>
      </c>
      <c r="F46" s="8" t="n">
        <v>172.0561457308993</v>
      </c>
      <c r="G46" s="5" t="inlineStr">
        <is>
          <t>USD</t>
        </is>
      </c>
      <c r="H46" s="7" t="inlineStr">
        <is>
          <t>2025-09-30 / 2025-12-31 / 2026-03-31 / 2026-06-30</t>
        </is>
      </c>
      <c r="I46" s="8" t="n">
        <v>6244</v>
      </c>
      <c r="J46" s="8" t="n">
        <v>6085</v>
      </c>
      <c r="K46" s="8" t="n">
        <v>6217</v>
      </c>
      <c r="L46" s="8" t="n">
        <v>6864</v>
      </c>
      <c r="M46" s="9" t="n">
        <v>11.53721156971075</v>
      </c>
      <c r="N46" s="8" t="n">
        <v>6751.74305</v>
      </c>
      <c r="O46" s="10" t="inlineStr">
        <is>
          <t>淨利 +$1.79B
經常 +$2.55B
一次: 無重大</t>
        </is>
      </c>
      <c r="P46" s="10" t="inlineStr">
        <is>
          <t>淨利 +$1.85B
經常 +$2.40B
一次: 無重大</t>
        </is>
      </c>
      <c r="Q46" s="10" t="inlineStr">
        <is>
          <t>淨利 +$1.70B
經常 +$2.46B
一次: 無重大</t>
        </is>
      </c>
      <c r="R46" s="10" t="inlineStr">
        <is>
          <t>淨利 +$1.99B
經常 +$2.76B
一次: 無重大</t>
        </is>
      </c>
      <c r="S46" s="11" t="n">
        <v>3.28197</v>
      </c>
      <c r="T46" s="9" t="n">
        <v>40.25349650349651</v>
      </c>
      <c r="U46" s="9" t="n">
        <v>29.03554778554778</v>
      </c>
      <c r="V46" s="9" t="n">
        <v>45.52738927738928</v>
      </c>
      <c r="W46" s="10" t="inlineStr">
        <is>
          <t>無重大</t>
        </is>
      </c>
      <c r="X46" s="10" t="inlineStr">
        <is>
          <t>四季皆正：+2,549 → +2,401 → +2,458 → +2,763（百萬）</t>
        </is>
      </c>
      <c r="Y46" s="10" t="inlineStr">
        <is>
          <t>四季營運皆正、最新季淨利為正 — 經常性已盈利</t>
        </is>
      </c>
      <c r="Z46" s="12" t="inlineStr">
        <is>
          <t>A</t>
        </is>
      </c>
      <c r="AA46" s="7" t="inlineStr">
        <is>
          <t>2026-06-30 / 2026-10-22</t>
        </is>
      </c>
    </row>
    <row r="47" ht="46" customHeight="1">
      <c r="A47" s="5" t="n">
        <v>46</v>
      </c>
      <c r="B47" s="6" t="inlineStr">
        <is>
          <t>WDC</t>
        </is>
      </c>
      <c r="C47" s="7" t="inlineStr">
        <is>
          <t>Western Digital Corporation</t>
        </is>
      </c>
      <c r="D47" s="7" t="inlineStr">
        <is>
          <t>Technology</t>
        </is>
      </c>
      <c r="E47" s="7" t="inlineStr">
        <is>
          <t>Computer Hardware</t>
        </is>
      </c>
      <c r="F47" s="8" t="n">
        <v>168.5384696820796</v>
      </c>
      <c r="G47" s="5" t="inlineStr">
        <is>
          <t>USD</t>
        </is>
      </c>
      <c r="H47" s="7" t="inlineStr">
        <is>
          <t>2025-09-30 / 2025-12-31 / 2026-03-31 / 2026-06-30</t>
        </is>
      </c>
      <c r="I47" s="8" t="n">
        <v>2818</v>
      </c>
      <c r="J47" s="8" t="n">
        <v>3017</v>
      </c>
      <c r="K47" s="8" t="n">
        <v>3337</v>
      </c>
      <c r="L47" s="8" t="n">
        <v>3747</v>
      </c>
      <c r="M47" s="9" t="n">
        <v>43.83877159309022</v>
      </c>
      <c r="N47" s="8" t="n">
        <v>4542.08128</v>
      </c>
      <c r="O47" s="10" t="inlineStr">
        <is>
          <t>淨利 +$1.15B
經常 +$795.0M
一次: +$535.0M（營收 19%）</t>
        </is>
      </c>
      <c r="P47" s="10" t="inlineStr">
        <is>
          <t>淨利 +$1.80B
經常 +$963.0M
一次: -$51.7M（營收 2%）</t>
        </is>
      </c>
      <c r="Q47" s="10" t="inlineStr">
        <is>
          <t>淨利 +$3.17B
經常 +$1.24B
一次: -$560.5M（營收 17%）</t>
        </is>
      </c>
      <c r="R47" s="10" t="inlineStr">
        <is>
          <t>淨利 +$3.18B
經常 +$1.61B
一次: +$6.35B（營收 170%）</t>
        </is>
      </c>
      <c r="S47" s="11" t="n">
        <v>4.67158</v>
      </c>
      <c r="T47" s="9" t="n">
        <v>42.86095543101148</v>
      </c>
      <c r="U47" s="9" t="n">
        <v>84.86789431545236</v>
      </c>
      <c r="V47" s="9" t="n">
        <v>54.12329863891113</v>
      </c>
      <c r="W47" s="10" t="inlineStr">
        <is>
          <t>+$6.35B・營收 169.5%</t>
        </is>
      </c>
      <c r="X47" s="10" t="inlineStr">
        <is>
          <t>四季皆正：+795 → +963 → +1,235 → +1,606（百萬）</t>
        </is>
      </c>
      <c r="Y47" s="10" t="inlineStr">
        <is>
          <t>四季營運皆正、最新季淨利為正 — 經常性已盈利</t>
        </is>
      </c>
      <c r="Z47" s="12" t="inlineStr">
        <is>
          <t>A</t>
        </is>
      </c>
      <c r="AA47" s="7" t="inlineStr">
        <is>
          <t>2026-06-30 / 2026-11-05</t>
        </is>
      </c>
    </row>
    <row r="48" ht="46" customHeight="1">
      <c r="A48" s="5" t="n">
        <v>47</v>
      </c>
      <c r="B48" s="6" t="inlineStr">
        <is>
          <t>ETN</t>
        </is>
      </c>
      <c r="C48" s="7" t="inlineStr">
        <is>
          <t>Eaton Corporation plc</t>
        </is>
      </c>
      <c r="D48" s="7" t="inlineStr">
        <is>
          <t>Technology</t>
        </is>
      </c>
      <c r="E48" s="7" t="inlineStr">
        <is>
          <t>Specialty Industrial Machinery</t>
        </is>
      </c>
      <c r="F48" s="8" t="n">
        <v>159.57414</v>
      </c>
      <c r="G48" s="5" t="inlineStr">
        <is>
          <t>USD</t>
        </is>
      </c>
      <c r="H48" s="7" t="inlineStr">
        <is>
          <t>2025-06-30 / 2025-09-30 / 2025-12-31 / 2026-03-31</t>
        </is>
      </c>
      <c r="I48" s="8" t="n">
        <v>7028</v>
      </c>
      <c r="J48" s="8" t="n">
        <v>6988</v>
      </c>
      <c r="K48" s="8" t="n">
        <v>7055</v>
      </c>
      <c r="L48" s="8" t="n">
        <v>7451</v>
      </c>
      <c r="M48" s="9" t="n">
        <v>16.84177512937117</v>
      </c>
      <c r="N48" s="8" t="n">
        <v>8440.34856</v>
      </c>
      <c r="O48" s="10" t="inlineStr">
        <is>
          <t>淨利 +$982.0M
經常 +$1.26B
一次: 無重大</t>
        </is>
      </c>
      <c r="P48" s="10" t="inlineStr">
        <is>
          <t>淨利 +$1.01B
經常 +$1.37B
一次: 無重大</t>
        </is>
      </c>
      <c r="Q48" s="10" t="inlineStr">
        <is>
          <t>淨利 +$1.13B
經常 +$1.39B
一次: 無重大</t>
        </is>
      </c>
      <c r="R48" s="10" t="inlineStr">
        <is>
          <t>淨利 +$866.0M
經常 +$1.17B
一次: 無重大</t>
        </is>
      </c>
      <c r="S48" s="11" t="n">
        <v>4.05061</v>
      </c>
      <c r="T48" s="9" t="n">
        <v>15.72943229096765</v>
      </c>
      <c r="U48" s="9" t="n">
        <v>11.62260099315528</v>
      </c>
      <c r="V48" s="9" t="n">
        <v>35.59253791437391</v>
      </c>
      <c r="W48" s="10" t="inlineStr">
        <is>
          <t>無重大</t>
        </is>
      </c>
      <c r="X48" s="10" t="inlineStr">
        <is>
          <t>四季皆正：+1,256 → +1,367 → +1,386 → +1,172（百萬）</t>
        </is>
      </c>
      <c r="Y48" s="10" t="inlineStr">
        <is>
          <t>四季營運皆正、最新季淨利為正 — 經常性已盈利</t>
        </is>
      </c>
      <c r="Z48" s="12" t="inlineStr">
        <is>
          <t>A</t>
        </is>
      </c>
      <c r="AA48" s="7" t="inlineStr">
        <is>
          <t>2026-03-31 / 2026-11-03</t>
        </is>
      </c>
    </row>
    <row r="49" ht="46" customHeight="1">
      <c r="A49" s="5" t="n">
        <v>48</v>
      </c>
      <c r="B49" s="6" t="inlineStr">
        <is>
          <t>NOW</t>
        </is>
      </c>
      <c r="C49" s="7" t="inlineStr">
        <is>
          <t>ServiceNow, Inc.</t>
        </is>
      </c>
      <c r="D49" s="7" t="inlineStr">
        <is>
          <t>Technology</t>
        </is>
      </c>
      <c r="E49" s="7" t="inlineStr">
        <is>
          <t>Software - Application</t>
        </is>
      </c>
      <c r="F49" s="8" t="n">
        <v>146.06284</v>
      </c>
      <c r="G49" s="5" t="inlineStr">
        <is>
          <t>USD</t>
        </is>
      </c>
      <c r="H49" s="7" t="inlineStr">
        <is>
          <t>2025-09-30 / 2025-12-31 / 2026-03-31 / 2026-06-30</t>
        </is>
      </c>
      <c r="I49" s="8" t="n">
        <v>3407</v>
      </c>
      <c r="J49" s="8" t="n">
        <v>3568</v>
      </c>
      <c r="K49" s="8" t="n">
        <v>3770</v>
      </c>
      <c r="L49" s="8" t="n">
        <v>3987</v>
      </c>
      <c r="M49" s="9" t="n">
        <v>24.01244167962675</v>
      </c>
      <c r="N49" s="8" t="n">
        <v>4360.94875</v>
      </c>
      <c r="O49" s="10" t="inlineStr">
        <is>
          <t>淨利 +$502.0M
經常 +$572.0M
一次: 無重大</t>
        </is>
      </c>
      <c r="P49" s="10" t="inlineStr">
        <is>
          <t>淨利 +$401.0M
經常 +$443.0M
一次: 無重大</t>
        </is>
      </c>
      <c r="Q49" s="10" t="inlineStr">
        <is>
          <t>淨利 +$469.0M
經常 +$503.0M
一次: 無重大</t>
        </is>
      </c>
      <c r="R49" s="10" t="inlineStr">
        <is>
          <t>淨利 +$298.0M
經常 +$162.0M
一次: 無重大</t>
        </is>
      </c>
      <c r="S49" s="11" t="n">
        <v>1.17044</v>
      </c>
      <c r="T49" s="9" t="n">
        <v>4.063205417607223</v>
      </c>
      <c r="U49" s="9" t="n">
        <v>7.474291447203411</v>
      </c>
      <c r="V49" s="9" t="n">
        <v>70.67970905442689</v>
      </c>
      <c r="W49" s="10" t="inlineStr">
        <is>
          <t>無重大</t>
        </is>
      </c>
      <c r="X49" s="10" t="inlineStr">
        <is>
          <t>四季皆正：+572 → +443 → +503 → +162（百萬）</t>
        </is>
      </c>
      <c r="Y49" s="10" t="inlineStr">
        <is>
          <t>四季營運皆正、最新季淨利為正 — 經常性已盈利</t>
        </is>
      </c>
      <c r="Z49" s="12" t="inlineStr">
        <is>
          <t>A</t>
        </is>
      </c>
      <c r="AA49" s="7" t="inlineStr">
        <is>
          <t>2026-06-30 / 2026-10-28</t>
        </is>
      </c>
    </row>
    <row r="50" ht="46" customHeight="1">
      <c r="A50" s="5" t="n">
        <v>49</v>
      </c>
      <c r="B50" s="6" t="inlineStr">
        <is>
          <t>TJX</t>
        </is>
      </c>
      <c r="C50" s="7" t="inlineStr">
        <is>
          <t>The TJX Companies, Inc.</t>
        </is>
      </c>
      <c r="D50" s="7" t="inlineStr">
        <is>
          <t>Consumer Discretionary</t>
        </is>
      </c>
      <c r="E50" s="7" t="inlineStr">
        <is>
          <t>Apparel Retail</t>
        </is>
      </c>
      <c r="F50" s="8" t="n">
        <v>145.2845739769743</v>
      </c>
      <c r="G50" s="5" t="inlineStr">
        <is>
          <t>USD</t>
        </is>
      </c>
      <c r="H50" s="7" t="inlineStr">
        <is>
          <t>2025-10-31 / 2026-01-31 / 2026-04-30 / 2026-07-31</t>
        </is>
      </c>
      <c r="I50" s="8" t="n">
        <v>15117</v>
      </c>
      <c r="J50" s="8" t="n">
        <v>17743</v>
      </c>
      <c r="K50" s="8" t="n">
        <v>14323</v>
      </c>
      <c r="L50" s="8" t="n">
        <v>15180</v>
      </c>
      <c r="M50" s="9" t="n">
        <v>5.409346573154639</v>
      </c>
      <c r="N50" s="8" t="n">
        <v>18633.47111</v>
      </c>
      <c r="O50" s="10" t="inlineStr">
        <is>
          <t>淨利 +$1.44B
經常 +$1.89B
一次: 無重大</t>
        </is>
      </c>
      <c r="P50" s="10" t="inlineStr">
        <is>
          <t>淨利 +$1.77B
經常 +$2.35B
一次: 無重大</t>
        </is>
      </c>
      <c r="Q50" s="10" t="inlineStr">
        <is>
          <t>淨利 +$1.33B
經常 +$1.69B
一次: 無重大</t>
        </is>
      </c>
      <c r="R50" s="10" t="inlineStr">
        <is>
          <t>淨利 +$1.52B
經常 +$1.99B
一次: 無重大</t>
        </is>
      </c>
      <c r="S50" s="11" t="n">
        <v>1.48253</v>
      </c>
      <c r="T50" s="9" t="n">
        <v>13.08959156785244</v>
      </c>
      <c r="U50" s="9" t="n">
        <v>10.01317523056654</v>
      </c>
      <c r="V50" s="9" t="n">
        <v>33.41238471673254</v>
      </c>
      <c r="W50" s="10" t="inlineStr">
        <is>
          <t>無重大</t>
        </is>
      </c>
      <c r="X50" s="10" t="inlineStr">
        <is>
          <t>四季皆正：+1,888 → +2,354 → +1,686 → +1,987（百萬）</t>
        </is>
      </c>
      <c r="Y50" s="10" t="inlineStr">
        <is>
          <t>四季營運皆正、最新季淨利為正 — 經常性已盈利</t>
        </is>
      </c>
      <c r="Z50" s="12" t="inlineStr">
        <is>
          <t>A</t>
        </is>
      </c>
      <c r="AA50" s="7" t="inlineStr">
        <is>
          <t>2026-07-31 / 2026-11-18</t>
        </is>
      </c>
    </row>
    <row r="51" ht="46" customHeight="1">
      <c r="A51" s="5" t="n">
        <v>50</v>
      </c>
      <c r="B51" s="6" t="inlineStr">
        <is>
          <t>VRTX</t>
        </is>
      </c>
      <c r="C51" s="7" t="inlineStr">
        <is>
          <t>Vertex Pharmaceuticals Incorporated</t>
        </is>
      </c>
      <c r="D51" s="7" t="inlineStr">
        <is>
          <t>Health Care</t>
        </is>
      </c>
      <c r="E51" s="7" t="inlineStr">
        <is>
          <t>Biotechnology</t>
        </is>
      </c>
      <c r="F51" s="8" t="n">
        <v>138.4200798152754</v>
      </c>
      <c r="G51" s="5" t="inlineStr">
        <is>
          <t>USD</t>
        </is>
      </c>
      <c r="H51" s="7" t="inlineStr">
        <is>
          <t>2025-09-30 / 2025-12-31 / 2026-03-31 / 2026-06-30</t>
        </is>
      </c>
      <c r="I51" s="8" t="n">
        <v>3076.4</v>
      </c>
      <c r="J51" s="8" t="n">
        <v>3190</v>
      </c>
      <c r="K51" s="8" t="n">
        <v>2986.9</v>
      </c>
      <c r="L51" s="8" t="n">
        <v>3333.9</v>
      </c>
      <c r="M51" s="9" t="n">
        <v>12.45319931190341</v>
      </c>
      <c r="N51" s="8" t="n">
        <v>3494.55545</v>
      </c>
      <c r="O51" s="10" t="inlineStr">
        <is>
          <t>淨利 +$1.08B
經常 +$1.24B
一次: -$43.9M（營收 1%）</t>
        </is>
      </c>
      <c r="P51" s="10" t="inlineStr">
        <is>
          <t>淨利 +$1.19B
經常 +$1.13B
一次: +$67.7M（營收 2%）</t>
        </is>
      </c>
      <c r="Q51" s="10" t="inlineStr">
        <is>
          <t>淨利 +$1.03B
經常 +$1.14B
一次: 無重大</t>
        </is>
      </c>
      <c r="R51" s="10" t="inlineStr">
        <is>
          <t>淨利 +$1.10B
經常 +$1.27B
一次: 無重大</t>
        </is>
      </c>
      <c r="S51" s="11" t="n">
        <v>4.88178</v>
      </c>
      <c r="T51" s="9" t="n">
        <v>38.05453072977593</v>
      </c>
      <c r="U51" s="9" t="n">
        <v>32.98839197336453</v>
      </c>
      <c r="V51" s="9" t="n">
        <v>85.32649449593568</v>
      </c>
      <c r="W51" s="10" t="inlineStr">
        <is>
          <t>無重大</t>
        </is>
      </c>
      <c r="X51" s="10" t="inlineStr">
        <is>
          <t>四季皆正：+1,239 → +1,130 → +1,139 → +1,269（百萬）</t>
        </is>
      </c>
      <c r="Y51" s="10" t="inlineStr">
        <is>
          <t>四季營運皆正、最新季淨利為正 — 經常性已盈利</t>
        </is>
      </c>
      <c r="Z51" s="12" t="inlineStr">
        <is>
          <t>A</t>
        </is>
      </c>
      <c r="AA51" s="7" t="inlineStr">
        <is>
          <t>2026-06-30 / 2026-11-02</t>
        </is>
      </c>
    </row>
    <row r="52" ht="46" customHeight="1">
      <c r="A52" s="5" t="n">
        <v>51</v>
      </c>
      <c r="B52" s="6" t="inlineStr">
        <is>
          <t>NEM</t>
        </is>
      </c>
      <c r="C52" s="7" t="inlineStr">
        <is>
          <t>Newmont Corporation</t>
        </is>
      </c>
      <c r="D52" s="7" t="inlineStr">
        <is>
          <t>Basic Materials</t>
        </is>
      </c>
      <c r="E52" s="7" t="inlineStr">
        <is>
          <t>Gold</t>
        </is>
      </c>
      <c r="F52" s="8" t="n">
        <v>134.9674429922589</v>
      </c>
      <c r="G52" s="5" t="inlineStr">
        <is>
          <t>USD</t>
        </is>
      </c>
      <c r="H52" s="7" t="inlineStr">
        <is>
          <t>2025-09-30 / 2025-12-31 / 2026-03-31 / 2026-06-30</t>
        </is>
      </c>
      <c r="I52" s="8" t="n">
        <v>5524</v>
      </c>
      <c r="J52" s="8" t="n">
        <v>6818</v>
      </c>
      <c r="K52" s="8" t="n">
        <v>7307</v>
      </c>
      <c r="L52" s="8" t="n">
        <v>6118</v>
      </c>
      <c r="M52" s="9" t="n">
        <v>15.06488621403046</v>
      </c>
      <c r="N52" s="8" t="n">
        <v>6678.24567</v>
      </c>
      <c r="O52" s="10" t="inlineStr">
        <is>
          <t>淨利 +$1.83B
經常 +$2.62B
一次: -$74.5M（營收 1%）</t>
        </is>
      </c>
      <c r="P52" s="10" t="inlineStr">
        <is>
          <t>淨利 +$1.30B
經常 +$3.97B
一次: -$606.7M（營收 9%）</t>
        </is>
      </c>
      <c r="Q52" s="10" t="inlineStr">
        <is>
          <t>淨利 +$3.26B
經常 +$4.49B
一次: 無重大</t>
        </is>
      </c>
      <c r="R52" s="10" t="inlineStr">
        <is>
          <t>淨利 +$2.20B
經常 +$3.15B
一次: -$114.2M（營收 2%）</t>
        </is>
      </c>
      <c r="S52" s="11" t="n">
        <v>2.17571</v>
      </c>
      <c r="T52" s="9" t="n">
        <v>51.56914024190912</v>
      </c>
      <c r="U52" s="9" t="n">
        <v>35.99215429879045</v>
      </c>
      <c r="V52" s="9" t="n">
        <v>55.99869238313174</v>
      </c>
      <c r="W52" s="10" t="inlineStr">
        <is>
          <t>-$114.2M・營收 1.9%</t>
        </is>
      </c>
      <c r="X52" s="10" t="inlineStr">
        <is>
          <t>四季皆正：+2,616 → +3,974 → +4,485 → +3,155（百萬）</t>
        </is>
      </c>
      <c r="Y52" s="10" t="inlineStr">
        <is>
          <t>四季營運皆正、最新季淨利為正 — 經常性已盈利</t>
        </is>
      </c>
      <c r="Z52" s="12" t="inlineStr">
        <is>
          <t>A</t>
        </is>
      </c>
      <c r="AA52" s="7" t="inlineStr">
        <is>
          <t>2026-06-30 / 2026-10-22</t>
        </is>
      </c>
    </row>
    <row r="53" ht="46" customHeight="1">
      <c r="A53" s="5" t="n">
        <v>52</v>
      </c>
      <c r="B53" s="6" t="inlineStr">
        <is>
          <t>GLW</t>
        </is>
      </c>
      <c r="C53" s="7" t="inlineStr">
        <is>
          <t>Corning Incorporated</t>
        </is>
      </c>
      <c r="D53" s="7" t="inlineStr">
        <is>
          <t>Industrials</t>
        </is>
      </c>
      <c r="E53" s="7" t="inlineStr">
        <is>
          <t>Electronic Components</t>
        </is>
      </c>
      <c r="F53" s="8" t="n">
        <v>132.9122194729529</v>
      </c>
      <c r="G53" s="5" t="inlineStr">
        <is>
          <t>USD</t>
        </is>
      </c>
      <c r="H53" s="7" t="inlineStr">
        <is>
          <t>2025-09-30 / 2025-12-31 / 2026-03-31 / 2026-06-30</t>
        </is>
      </c>
      <c r="I53" s="8" t="n">
        <v>4100</v>
      </c>
      <c r="J53" s="8" t="n">
        <v>4215</v>
      </c>
      <c r="K53" s="8" t="n">
        <v>4144</v>
      </c>
      <c r="L53" s="8" t="n">
        <v>4505</v>
      </c>
      <c r="M53" s="9" t="n">
        <v>16.64940445365095</v>
      </c>
      <c r="N53" s="8" t="n">
        <v>5115.34324</v>
      </c>
      <c r="O53" s="10" t="inlineStr">
        <is>
          <t>淨利 +$430.0M
經常 +$589.0M
一次: 無重大</t>
        </is>
      </c>
      <c r="P53" s="10" t="inlineStr">
        <is>
          <t>淨利 +$540.0M
經常 +$672.0M
一次: +$75.3M（營收 2%）</t>
        </is>
      </c>
      <c r="Q53" s="10" t="inlineStr">
        <is>
          <t>淨利 +$371.0M
經常 +$639.0M
一次: 無重大</t>
        </is>
      </c>
      <c r="R53" s="10" t="inlineStr">
        <is>
          <t>淨利 +$559.0M
經常 +$698.0M
一次: +$84.5M（營收 2%）</t>
        </is>
      </c>
      <c r="S53" s="11" t="n">
        <v>0.91676</v>
      </c>
      <c r="T53" s="9" t="n">
        <v>15.49389567147614</v>
      </c>
      <c r="U53" s="9" t="n">
        <v>12.40843507214206</v>
      </c>
      <c r="V53" s="9" t="n">
        <v>36.13762486126526</v>
      </c>
      <c r="W53" s="10" t="inlineStr">
        <is>
          <t>+$84.5M・營收 1.9%</t>
        </is>
      </c>
      <c r="X53" s="10" t="inlineStr">
        <is>
          <t>四季皆正：+589 → +672 → +639 → +698（百萬）</t>
        </is>
      </c>
      <c r="Y53" s="10" t="inlineStr">
        <is>
          <t>四季營運皆正、最新季淨利為正 — 經常性已盈利</t>
        </is>
      </c>
      <c r="Z53" s="12" t="inlineStr">
        <is>
          <t>A</t>
        </is>
      </c>
      <c r="AA53" s="7" t="inlineStr">
        <is>
          <t>2026-06-30 / 2026-10-27</t>
        </is>
      </c>
    </row>
    <row r="54" ht="46" customHeight="1">
      <c r="A54" s="5" t="n">
        <v>53</v>
      </c>
      <c r="B54" s="6" t="inlineStr">
        <is>
          <t>PBR</t>
        </is>
      </c>
      <c r="C54" s="7" t="inlineStr">
        <is>
          <t>Petróleo Brasileiro S.A. - Petrobras</t>
        </is>
      </c>
      <c r="D54" s="7" t="inlineStr">
        <is>
          <t>Energy</t>
        </is>
      </c>
      <c r="E54" s="7" t="inlineStr">
        <is>
          <t>Oil &amp; Gas Integrated</t>
        </is>
      </c>
      <c r="F54" s="8" t="n">
        <v>129.6606515858547</v>
      </c>
      <c r="G54" s="5" t="inlineStr">
        <is>
          <t>BRL</t>
        </is>
      </c>
      <c r="H54" s="7" t="inlineStr">
        <is>
          <t>2025-09-30 / 2025-12-31 / 2026-03-31 / 2026-06-30</t>
        </is>
      </c>
      <c r="I54" s="8" t="n">
        <v>23477</v>
      </c>
      <c r="J54" s="8" t="n">
        <v>23608</v>
      </c>
      <c r="K54" s="8" t="n">
        <v>23483.19726599582</v>
      </c>
      <c r="L54" s="8" t="n">
        <v>33607</v>
      </c>
      <c r="M54" s="9" t="n">
        <v>59.75186576032705</v>
      </c>
      <c r="N54" s="8" t="n">
        <v>154434.10577</v>
      </c>
      <c r="O54" s="10" t="inlineStr">
        <is>
          <t>淨利 +R$6.03B
經常 +R$7.73B
一次: +R$1.13B（營收 5%）</t>
        </is>
      </c>
      <c r="P54" s="10" t="inlineStr">
        <is>
          <t>淨利 +R$2.90B
經常 +R$7.00B
一次: -R$3.56B（營收 15%）</t>
        </is>
      </c>
      <c r="Q54" s="10" t="inlineStr">
        <is>
          <t>淨利 +R$6.20B
經常 +R$6.81B
一次: +R$2.53B（營收 11%）</t>
        </is>
      </c>
      <c r="R54" s="10" t="inlineStr">
        <is>
          <t>淨利 +R$10.43B
經常 +R$14.55B
一次: 無重大</t>
        </is>
      </c>
      <c r="S54" s="11" t="n">
        <v>1.08171</v>
      </c>
      <c r="T54" s="9" t="n">
        <v>43.30347844199125</v>
      </c>
      <c r="U54" s="9" t="n">
        <v>31.0292498586604</v>
      </c>
      <c r="V54" s="9" t="n">
        <v>58.00279703633172</v>
      </c>
      <c r="W54" s="10" t="inlineStr">
        <is>
          <t>無重大</t>
        </is>
      </c>
      <c r="X54" s="10" t="inlineStr">
        <is>
          <t>四季皆正：+7,729 → +7,005 → +6,808 → +14,553（百萬）</t>
        </is>
      </c>
      <c r="Y54" s="10" t="inlineStr">
        <is>
          <t>四季營運皆正、最新季淨利為正 — 經常性已盈利</t>
        </is>
      </c>
      <c r="Z54" s="12" t="inlineStr">
        <is>
          <t>A</t>
        </is>
      </c>
      <c r="AA54" s="7" t="inlineStr">
        <is>
          <t>2026-06-30 / 2026-11-10</t>
        </is>
      </c>
    </row>
    <row r="55" ht="46" customHeight="1">
      <c r="A55" s="5" t="n">
        <v>54</v>
      </c>
      <c r="B55" s="6" t="inlineStr">
        <is>
          <t>ISRG</t>
        </is>
      </c>
      <c r="C55" s="7" t="inlineStr">
        <is>
          <t>Intuitive Surgical, Inc.</t>
        </is>
      </c>
      <c r="D55" s="7" t="inlineStr">
        <is>
          <t>Health Care</t>
        </is>
      </c>
      <c r="E55" s="7" t="inlineStr">
        <is>
          <t>Medical Instruments &amp; Supplies</t>
        </is>
      </c>
      <c r="F55" s="8" t="n">
        <v>129.5470565344204</v>
      </c>
      <c r="G55" s="5" t="inlineStr">
        <is>
          <t>USD</t>
        </is>
      </c>
      <c r="H55" s="7" t="inlineStr">
        <is>
          <t>2025-09-30 / 2025-12-31 / 2026-03-31 / 2026-06-30</t>
        </is>
      </c>
      <c r="I55" s="8" t="n">
        <v>2505.1</v>
      </c>
      <c r="J55" s="8" t="n">
        <v>2866.2</v>
      </c>
      <c r="K55" s="8" t="n">
        <v>2770.8</v>
      </c>
      <c r="L55" s="8" t="n">
        <v>2892.3</v>
      </c>
      <c r="M55" s="9" t="n">
        <v>18.53688524590165</v>
      </c>
      <c r="N55" s="8" t="n">
        <v>3215.21589</v>
      </c>
      <c r="O55" s="10" t="inlineStr">
        <is>
          <t>淨利 +$704.4M
經常 +$759.7M
一次: 無重大</t>
        </is>
      </c>
      <c r="P55" s="10" t="inlineStr">
        <is>
          <t>淨利 +$794.8M
經常 +$864.3M
一次: 無重大</t>
        </is>
      </c>
      <c r="Q55" s="10" t="inlineStr">
        <is>
          <t>淨利 +$821.5M
經常 +$855.3M
一次: 無重大</t>
        </is>
      </c>
      <c r="R55" s="10" t="inlineStr">
        <is>
          <t>淨利 +$818.1M
經常 +$971.9M
一次: 無重大</t>
        </is>
      </c>
      <c r="S55" s="11" t="n">
        <v>2.84422</v>
      </c>
      <c r="T55" s="9" t="n">
        <v>33.60301490163538</v>
      </c>
      <c r="U55" s="9" t="n">
        <v>28.2854475676797</v>
      </c>
      <c r="V55" s="9" t="n">
        <v>67.77996749991357</v>
      </c>
      <c r="W55" s="10" t="inlineStr">
        <is>
          <t>無重大</t>
        </is>
      </c>
      <c r="X55" s="10" t="inlineStr">
        <is>
          <t>四季皆正：+760 → +864 → +855 → +972（百萬）</t>
        </is>
      </c>
      <c r="Y55" s="10" t="inlineStr">
        <is>
          <t>四季營運皆正、最新季淨利為正 — 經常性已盈利</t>
        </is>
      </c>
      <c r="Z55" s="12" t="inlineStr">
        <is>
          <t>A</t>
        </is>
      </c>
      <c r="AA55" s="7" t="inlineStr">
        <is>
          <t>2026-06-30 / 2026-10-20</t>
        </is>
      </c>
    </row>
    <row r="56" ht="46" customHeight="1">
      <c r="A56" s="5" t="n">
        <v>55</v>
      </c>
      <c r="B56" s="6" t="inlineStr">
        <is>
          <t>LMT</t>
        </is>
      </c>
      <c r="C56" s="7" t="inlineStr">
        <is>
          <t>Lockheed Martin Corporation</t>
        </is>
      </c>
      <c r="D56" s="7" t="inlineStr">
        <is>
          <t>Industrials</t>
        </is>
      </c>
      <c r="E56" s="7" t="inlineStr">
        <is>
          <t>Aerospace &amp; Defense</t>
        </is>
      </c>
      <c r="F56" s="8" t="n">
        <v>121.2297667358599</v>
      </c>
      <c r="G56" s="5" t="inlineStr">
        <is>
          <t>USD</t>
        </is>
      </c>
      <c r="H56" s="7" t="inlineStr">
        <is>
          <t>2025-09-30 / 2025-12-31 / 2026-03-31 / 2026-06-30</t>
        </is>
      </c>
      <c r="I56" s="8" t="n">
        <v>18609</v>
      </c>
      <c r="J56" s="8" t="n">
        <v>20321</v>
      </c>
      <c r="K56" s="8" t="n">
        <v>18021</v>
      </c>
      <c r="L56" s="8" t="n">
        <v>20063</v>
      </c>
      <c r="M56" s="9" t="n">
        <v>10.50950151473424</v>
      </c>
      <c r="N56" s="8" t="n">
        <v>22468.885</v>
      </c>
      <c r="O56" s="10" t="inlineStr">
        <is>
          <t>淨利 +$1.62B
經常 +$2.28B
一次: 無重大</t>
        </is>
      </c>
      <c r="P56" s="10" t="inlineStr">
        <is>
          <t>淨利 +$1.34B
經常 +$2.33B
一次: 無重大</t>
        </is>
      </c>
      <c r="Q56" s="10" t="inlineStr">
        <is>
          <t>淨利 +$1.49B
經常 +$2.06B
一次: 無重大</t>
        </is>
      </c>
      <c r="R56" s="10" t="inlineStr">
        <is>
          <t>淨利 +$1.84B
經常 +$2.48B
一次: 無重大</t>
        </is>
      </c>
      <c r="S56" s="11" t="n">
        <v>8.42939</v>
      </c>
      <c r="T56" s="9" t="n">
        <v>12.35607835318746</v>
      </c>
      <c r="U56" s="9" t="n">
        <v>9.151173802522056</v>
      </c>
      <c r="V56" s="9" t="n">
        <v>12.19159647111598</v>
      </c>
      <c r="W56" s="10" t="inlineStr">
        <is>
          <t>無重大</t>
        </is>
      </c>
      <c r="X56" s="10" t="inlineStr">
        <is>
          <t>四季皆正：+2,280 → +2,331 → +2,063 → +2,479（百萬）</t>
        </is>
      </c>
      <c r="Y56" s="10" t="inlineStr">
        <is>
          <t>四季營運皆正、最新季淨利為正 — 經常性已盈利</t>
        </is>
      </c>
      <c r="Z56" s="12" t="inlineStr">
        <is>
          <t>A</t>
        </is>
      </c>
      <c r="AA56" s="7" t="inlineStr">
        <is>
          <t>2026-06-30 / 2026-10-20</t>
        </is>
      </c>
    </row>
    <row r="57" ht="46" customHeight="1">
      <c r="A57" s="5" t="n">
        <v>56</v>
      </c>
      <c r="B57" s="6" t="inlineStr">
        <is>
          <t>SBUX</t>
        </is>
      </c>
      <c r="C57" s="7" t="inlineStr">
        <is>
          <t>Starbucks Corporation</t>
        </is>
      </c>
      <c r="D57" s="7" t="inlineStr">
        <is>
          <t>Consumer Discretionary</t>
        </is>
      </c>
      <c r="E57" s="7" t="inlineStr">
        <is>
          <t>Restaurants</t>
        </is>
      </c>
      <c r="F57" s="8" t="n">
        <v>119.0958</v>
      </c>
      <c r="G57" s="5" t="inlineStr">
        <is>
          <t>USD</t>
        </is>
      </c>
      <c r="H57" s="7" t="inlineStr">
        <is>
          <t>2025-09-30 / 2025-12-31 / 2026-03-31 / 2026-06-30</t>
        </is>
      </c>
      <c r="I57" s="8" t="n">
        <v>9569</v>
      </c>
      <c r="J57" s="8" t="n">
        <v>9915.1</v>
      </c>
      <c r="K57" s="8" t="n">
        <v>9531.5</v>
      </c>
      <c r="L57" s="8" t="n">
        <v>9322.700000000001</v>
      </c>
      <c r="M57" s="9" t="n">
        <v>-1.409686971235191</v>
      </c>
      <c r="N57" s="8" t="n">
        <v>9606.00632</v>
      </c>
      <c r="O57" s="10" t="inlineStr">
        <is>
          <t>淨利 +$133.2M
經常 +$948.1M
一次: -$613.6M（營收 6%）</t>
        </is>
      </c>
      <c r="P57" s="10" t="inlineStr">
        <is>
          <t>淨利 +$293.3M
經常 +$918.3M
一次: 無重大</t>
        </is>
      </c>
      <c r="Q57" s="10" t="inlineStr">
        <is>
          <t>淨利 +$510.9M
經常 +$802.4M
一次: 無重大</t>
        </is>
      </c>
      <c r="R57" s="10" t="inlineStr">
        <is>
          <t>淨利 +$1.05B
經常 +$1.20B
一次: +$172.1M（營收 2%）</t>
        </is>
      </c>
      <c r="S57" s="11" t="n">
        <v>0.75295</v>
      </c>
      <c r="T57" s="9" t="n">
        <v>12.91900415115793</v>
      </c>
      <c r="U57" s="9" t="n">
        <v>11.21241700365774</v>
      </c>
      <c r="V57" s="9" t="n">
        <v>24.63556694948888</v>
      </c>
      <c r="W57" s="10" t="inlineStr">
        <is>
          <t>+$172.1M・營收 1.8%</t>
        </is>
      </c>
      <c r="X57" s="10" t="inlineStr">
        <is>
          <t>四季皆正：+948 → +918 → +802 → +1,204（百萬）</t>
        </is>
      </c>
      <c r="Y57" s="10" t="inlineStr">
        <is>
          <t>四季營運皆正、最新季淨利為正 — 經常性已盈利</t>
        </is>
      </c>
      <c r="Z57" s="12" t="inlineStr">
        <is>
          <t>A</t>
        </is>
      </c>
      <c r="AA57" s="7" t="inlineStr">
        <is>
          <t>2026-06-30 / 2026-10-28</t>
        </is>
      </c>
    </row>
    <row r="58" ht="46" customHeight="1">
      <c r="A58" s="5" t="n">
        <v>57</v>
      </c>
      <c r="B58" s="6" t="inlineStr">
        <is>
          <t>BNS</t>
        </is>
      </c>
      <c r="C58" s="7" t="inlineStr">
        <is>
          <t>The Bank of Nova Scotia</t>
        </is>
      </c>
      <c r="D58" s="7" t="inlineStr">
        <is>
          <t>Finance</t>
        </is>
      </c>
      <c r="E58" s="7" t="inlineStr">
        <is>
          <t>Banks - Diversified</t>
        </is>
      </c>
      <c r="F58" s="8" t="n">
        <v>115.0971901148045</v>
      </c>
      <c r="G58" s="5" t="inlineStr">
        <is>
          <t>CAD</t>
        </is>
      </c>
      <c r="H58" s="7" t="inlineStr">
        <is>
          <t>2025-10-31 / 2026-01-31 / 2026-04-30 / 2026-07-31</t>
        </is>
      </c>
      <c r="I58" s="8" t="n">
        <v>9579</v>
      </c>
      <c r="J58" s="8" t="n">
        <v>9880</v>
      </c>
      <c r="K58" s="8" t="n">
        <v>9615</v>
      </c>
      <c r="L58" s="8" t="n">
        <v>10313</v>
      </c>
      <c r="M58" s="9" t="n">
        <v>10.54775431450317</v>
      </c>
      <c r="N58" s="8" t="n">
        <v>10670.09328</v>
      </c>
      <c r="O58" s="10" t="inlineStr">
        <is>
          <t>淨利 +C$2.10B
經常* +C$3.22B
一次: -C$353.8M（營收 4%）</t>
        </is>
      </c>
      <c r="P58" s="10" t="inlineStr">
        <is>
          <t>淨利 +C$2.15B
經常* +C$3.49B
一次: -C$314.6M（營收 3%）</t>
        </is>
      </c>
      <c r="Q58" s="10" t="inlineStr">
        <is>
          <t>淨利 +C$2.47B
經常* +C$3.43B
一次: 無重大</t>
        </is>
      </c>
      <c r="R58" s="10" t="inlineStr">
        <is>
          <t>淨利 +C$2.78B
經常* +C$3.90B
一次: 無重大</t>
        </is>
      </c>
      <c r="S58" s="11" t="n">
        <v>2.31943</v>
      </c>
      <c r="T58" s="9" t="n">
        <v>37.81634829826432</v>
      </c>
      <c r="U58" s="9" t="n">
        <v>26.93687578784059</v>
      </c>
      <c r="V58" s="9" t="n"/>
      <c r="W58" s="10" t="inlineStr">
        <is>
          <t>無重大</t>
        </is>
      </c>
      <c r="X58" s="10" t="inlineStr">
        <is>
          <t>四季皆正：+3,216 → +3,486 → +3,431 → +3,900（百萬）</t>
        </is>
      </c>
      <c r="Y58" s="10" t="inlineStr">
        <is>
          <t>四季營運皆正、最新季淨利為正 — 經常性已盈利</t>
        </is>
      </c>
      <c r="Z58" s="12" t="inlineStr">
        <is>
          <t>A</t>
        </is>
      </c>
      <c r="AA58" s="7" t="inlineStr">
        <is>
          <t>2026-07-31 / 2026-12-02</t>
        </is>
      </c>
    </row>
    <row r="59" ht="46" customHeight="1">
      <c r="A59" s="5" t="n">
        <v>58</v>
      </c>
      <c r="B59" s="6" t="inlineStr">
        <is>
          <t>FTNT</t>
        </is>
      </c>
      <c r="C59" s="7" t="inlineStr">
        <is>
          <t>Fortinet, Inc.</t>
        </is>
      </c>
      <c r="D59" s="7" t="inlineStr">
        <is>
          <t>Technology</t>
        </is>
      </c>
      <c r="E59" s="7" t="inlineStr">
        <is>
          <t>Software - Infrastructure</t>
        </is>
      </c>
      <c r="F59" s="8" t="n">
        <v>114.6721068271215</v>
      </c>
      <c r="G59" s="5" t="inlineStr">
        <is>
          <t>USD</t>
        </is>
      </c>
      <c r="H59" s="7" t="inlineStr">
        <is>
          <t>2025-09-30 / 2025-12-31 / 2026-03-31 / 2026-06-30</t>
        </is>
      </c>
      <c r="I59" s="8" t="n">
        <v>1724.9</v>
      </c>
      <c r="J59" s="8" t="n">
        <v>1905</v>
      </c>
      <c r="K59" s="8" t="n">
        <v>1849.6</v>
      </c>
      <c r="L59" s="8" t="n">
        <v>2047.9</v>
      </c>
      <c r="M59" s="9" t="n">
        <v>25.63803680981596</v>
      </c>
      <c r="N59" s="8" t="n">
        <v>2160.55905</v>
      </c>
      <c r="O59" s="10" t="inlineStr">
        <is>
          <t>淨利 +$473.9M
經常 +$547.3M
一次: 無重大</t>
        </is>
      </c>
      <c r="P59" s="10" t="inlineStr">
        <is>
          <t>淨利 +$506.0M
經常 +$625.6M
一次: 無重大</t>
        </is>
      </c>
      <c r="Q59" s="10" t="inlineStr">
        <is>
          <t>淨利 +$534.5M
經常 +$580.0M
一次: 無重大</t>
        </is>
      </c>
      <c r="R59" s="10" t="inlineStr">
        <is>
          <t>淨利 +$606.3M
經常 +$689.3M
一次: 無重大</t>
        </is>
      </c>
      <c r="S59" s="11" t="n">
        <v>0.87541</v>
      </c>
      <c r="T59" s="9" t="n">
        <v>33.65887006201474</v>
      </c>
      <c r="U59" s="9" t="n">
        <v>29.60593778993115</v>
      </c>
      <c r="V59" s="9" t="n">
        <v>80.23829288539478</v>
      </c>
      <c r="W59" s="10" t="inlineStr">
        <is>
          <t>無重大</t>
        </is>
      </c>
      <c r="X59" s="10" t="inlineStr">
        <is>
          <t>四季皆正：+547 → +626 → +580 → +689（百萬）</t>
        </is>
      </c>
      <c r="Y59" s="10" t="inlineStr">
        <is>
          <t>四季營運皆正、最新季淨利為正 — 經常性已盈利</t>
        </is>
      </c>
      <c r="Z59" s="12" t="inlineStr">
        <is>
          <t>A</t>
        </is>
      </c>
      <c r="AA59" s="7" t="inlineStr">
        <is>
          <t>2026-06-30 / 2026-11-04</t>
        </is>
      </c>
    </row>
    <row r="60" ht="46" customHeight="1">
      <c r="A60" s="5" t="n">
        <v>59</v>
      </c>
      <c r="B60" s="6" t="inlineStr">
        <is>
          <t>BNY</t>
        </is>
      </c>
      <c r="C60" s="7" t="inlineStr">
        <is>
          <t>The Bank of New York Mellon Corporation</t>
        </is>
      </c>
      <c r="D60" s="7" t="inlineStr">
        <is>
          <t>Finance</t>
        </is>
      </c>
      <c r="E60" s="7" t="inlineStr">
        <is>
          <t>Banks - Diversified</t>
        </is>
      </c>
      <c r="F60" s="8" t="n">
        <v>111.8446227674607</v>
      </c>
      <c r="G60" s="5" t="inlineStr">
        <is>
          <t>USD</t>
        </is>
      </c>
      <c r="H60" s="7" t="inlineStr">
        <is>
          <t>2025-06-30 / 2025-09-30 / 2025-12-31 / 2026-03-31</t>
        </is>
      </c>
      <c r="I60" s="8" t="n">
        <v>4965</v>
      </c>
      <c r="J60" s="8" t="n">
        <v>5001</v>
      </c>
      <c r="K60" s="8" t="n">
        <v>5106</v>
      </c>
      <c r="L60" s="8" t="n">
        <v>5336</v>
      </c>
      <c r="M60" s="9" t="n">
        <v>13.84681032643482</v>
      </c>
      <c r="N60" s="8" t="n">
        <v>5615.06452</v>
      </c>
      <c r="O60" s="10" t="inlineStr">
        <is>
          <t>淨利 +$1.39B
經常* +$1.85B
一次: 無重大</t>
        </is>
      </c>
      <c r="P60" s="10" t="inlineStr">
        <is>
          <t>淨利 +$1.34B
經常* +$1.87B
一次: 無重大</t>
        </is>
      </c>
      <c r="Q60" s="10" t="inlineStr">
        <is>
          <t>淨利 +$1.43B
經常* +$1.89B
一次: 無重大</t>
        </is>
      </c>
      <c r="R60" s="10" t="inlineStr">
        <is>
          <t>淨利 +$1.56B
經常* +$2.03B
一次: 無重大</t>
        </is>
      </c>
      <c r="S60" s="11" t="n">
        <v>2.28905</v>
      </c>
      <c r="T60" s="9" t="n">
        <v>37.9932429618524</v>
      </c>
      <c r="U60" s="9" t="n">
        <v>29.27286356821589</v>
      </c>
      <c r="V60" s="9" t="n"/>
      <c r="W60" s="10" t="inlineStr">
        <is>
          <t>無重大</t>
        </is>
      </c>
      <c r="X60" s="10" t="inlineStr">
        <is>
          <t>四季皆正：+1,848 → +1,873 → +1,886 → +2,027（百萬）</t>
        </is>
      </c>
      <c r="Y60" s="10" t="inlineStr">
        <is>
          <t>四季營運皆正、最新季淨利為正 — 經常性已盈利</t>
        </is>
      </c>
      <c r="Z60" s="12" t="inlineStr">
        <is>
          <t>A</t>
        </is>
      </c>
      <c r="AA60" s="7" t="inlineStr">
        <is>
          <t>2026-03-31 / 2026-10-15</t>
        </is>
      </c>
    </row>
    <row r="61" ht="46" customHeight="1">
      <c r="A61" s="5" t="n">
        <v>60</v>
      </c>
      <c r="B61" s="6" t="inlineStr">
        <is>
          <t>SPOT</t>
        </is>
      </c>
      <c r="C61" s="7" t="inlineStr">
        <is>
          <t>Spotify Technology S.A.</t>
        </is>
      </c>
      <c r="D61" s="7" t="inlineStr">
        <is>
          <t>Consumer Discretionary</t>
        </is>
      </c>
      <c r="E61" s="7" t="inlineStr">
        <is>
          <t>Internet Content &amp; Information</t>
        </is>
      </c>
      <c r="F61" s="8" t="n">
        <v>111.6497376209053</v>
      </c>
      <c r="G61" s="5" t="inlineStr">
        <is>
          <t>EUR</t>
        </is>
      </c>
      <c r="H61" s="7" t="inlineStr">
        <is>
          <t>2025-09-30 / 2025-12-31 / 2026-03-31 / 2026-06-30</t>
        </is>
      </c>
      <c r="I61" s="8" t="n">
        <v>4272</v>
      </c>
      <c r="J61" s="8" t="n">
        <v>4531</v>
      </c>
      <c r="K61" s="8" t="n">
        <v>4533</v>
      </c>
      <c r="L61" s="8" t="n">
        <v>4777</v>
      </c>
      <c r="M61" s="9" t="n">
        <v>13.9279751967565</v>
      </c>
      <c r="N61" s="8" t="n">
        <v>5237.17318</v>
      </c>
      <c r="O61" s="10" t="inlineStr">
        <is>
          <t>淨利 +€899.0M
經常 +€582.0M
一次: +€149.3M（營收 3%）</t>
        </is>
      </c>
      <c r="P61" s="10" t="inlineStr">
        <is>
          <t>淨利 +€1.17B
經常 +€701.0M
一次: +€207.8M（營收 5%）</t>
        </is>
      </c>
      <c r="Q61" s="10" t="inlineStr">
        <is>
          <t>淨利 +€721.0M
經常 +€715.0M
一次: +€127.8M（營收 3%）</t>
        </is>
      </c>
      <c r="R61" s="10" t="inlineStr">
        <is>
          <t>淨利 +€545.0M
經常 +€655.0M
一次: 無重大</t>
        </is>
      </c>
      <c r="S61" s="11" t="n">
        <v>3.40641</v>
      </c>
      <c r="T61" s="9" t="n">
        <v>13.71153443583839</v>
      </c>
      <c r="U61" s="9" t="n">
        <v>11.40883399623194</v>
      </c>
      <c r="V61" s="9" t="n">
        <v>33.41009001465355</v>
      </c>
      <c r="W61" s="10" t="inlineStr">
        <is>
          <t>無重大</t>
        </is>
      </c>
      <c r="X61" s="10" t="inlineStr">
        <is>
          <t>四季皆正：+582 → +701 → +715 → +655（百萬）</t>
        </is>
      </c>
      <c r="Y61" s="10" t="inlineStr">
        <is>
          <t>四季營運皆正、最新季淨利為正 — 經常性已盈利</t>
        </is>
      </c>
      <c r="Z61" s="12" t="inlineStr">
        <is>
          <t>A</t>
        </is>
      </c>
      <c r="AA61" s="7" t="inlineStr">
        <is>
          <t>2026-06-30 / 2026-11-03</t>
        </is>
      </c>
    </row>
    <row r="62" ht="46" customHeight="1">
      <c r="A62" s="5" t="n">
        <v>61</v>
      </c>
      <c r="B62" s="6" t="inlineStr">
        <is>
          <t>HOOD</t>
        </is>
      </c>
      <c r="C62" s="7" t="inlineStr">
        <is>
          <t>Robinhood Markets, Inc.</t>
        </is>
      </c>
      <c r="D62" s="7" t="inlineStr">
        <is>
          <t>Finance</t>
        </is>
      </c>
      <c r="E62" s="7" t="inlineStr">
        <is>
          <t>Capital Markets</t>
        </is>
      </c>
      <c r="F62" s="8" t="n">
        <v>109.7869363559252</v>
      </c>
      <c r="G62" s="5" t="inlineStr">
        <is>
          <t>USD</t>
        </is>
      </c>
      <c r="H62" s="7" t="inlineStr">
        <is>
          <t>2025-09-30 / 2025-12-31 / 2026-03-31 / 2026-06-30</t>
        </is>
      </c>
      <c r="I62" s="8" t="n">
        <v>1274</v>
      </c>
      <c r="J62" s="8" t="n">
        <v>1283</v>
      </c>
      <c r="K62" s="8" t="n">
        <v>1067</v>
      </c>
      <c r="L62" s="8" t="n">
        <v>1308</v>
      </c>
      <c r="M62" s="9" t="n">
        <v>32.25480283114257</v>
      </c>
      <c r="N62" s="8" t="n">
        <v>1449.61656</v>
      </c>
      <c r="O62" s="10" t="inlineStr">
        <is>
          <t>淨利 +$556.0M
經常 +$635.0M
一次: 無重大</t>
        </is>
      </c>
      <c r="P62" s="10" t="inlineStr">
        <is>
          <t>淨利 +$605.0M
經常 +$650.0M
一次: 無重大</t>
        </is>
      </c>
      <c r="Q62" s="10" t="inlineStr">
        <is>
          <t>淨利 +$350.0M
經常 +$411.0M
一次: 無重大</t>
        </is>
      </c>
      <c r="R62" s="10" t="inlineStr">
        <is>
          <t>淨利 +$561.0M
經常 +$574.0M
一次: 無重大</t>
        </is>
      </c>
      <c r="S62" s="11" t="n">
        <v>0.58927</v>
      </c>
      <c r="T62" s="9" t="n">
        <v>43.88379204892966</v>
      </c>
      <c r="U62" s="9" t="n">
        <v>42.88990825688073</v>
      </c>
      <c r="V62" s="9" t="n">
        <v>81.95718654434251</v>
      </c>
      <c r="W62" s="10" t="inlineStr">
        <is>
          <t>無重大</t>
        </is>
      </c>
      <c r="X62" s="10" t="inlineStr">
        <is>
          <t>四季皆正：+635 → +650 → +411 → +574（百萬）</t>
        </is>
      </c>
      <c r="Y62" s="10" t="inlineStr">
        <is>
          <t>四季營運皆正、最新季淨利為正 — 經常性已盈利</t>
        </is>
      </c>
      <c r="Z62" s="12" t="inlineStr">
        <is>
          <t>A</t>
        </is>
      </c>
      <c r="AA62" s="7" t="inlineStr">
        <is>
          <t>2026-06-30 / 2026-11-04</t>
        </is>
      </c>
    </row>
    <row r="63" ht="46" customHeight="1">
      <c r="A63" s="5" t="n">
        <v>62</v>
      </c>
      <c r="B63" s="6" t="inlineStr">
        <is>
          <t>VRT</t>
        </is>
      </c>
      <c r="C63" s="7" t="inlineStr">
        <is>
          <t>Vertiv Holdings Co</t>
        </is>
      </c>
      <c r="D63" s="7" t="inlineStr">
        <is>
          <t>Technology</t>
        </is>
      </c>
      <c r="E63" s="7" t="inlineStr">
        <is>
          <t>Electrical Equipment &amp; Parts</t>
        </is>
      </c>
      <c r="F63" s="8" t="n">
        <v>108.0007321719434</v>
      </c>
      <c r="G63" s="5" t="inlineStr">
        <is>
          <t>USD</t>
        </is>
      </c>
      <c r="H63" s="7" t="inlineStr">
        <is>
          <t>2025-09-30 / 2025-12-31 / 2026-03-31 / 2026-06-30</t>
        </is>
      </c>
      <c r="I63" s="8" t="n">
        <v>2675.8</v>
      </c>
      <c r="J63" s="8" t="n">
        <v>2880</v>
      </c>
      <c r="K63" s="8" t="n">
        <v>2649.5</v>
      </c>
      <c r="L63" s="8" t="n">
        <v>3274.3</v>
      </c>
      <c r="M63" s="9" t="n">
        <v>24.11584094613548</v>
      </c>
      <c r="N63" s="8" t="n">
        <v>4320.19244</v>
      </c>
      <c r="O63" s="10" t="inlineStr">
        <is>
          <t>淨利 +$398.5M
經常 +$548.3M
一次: -$27.0M（營收 1%）</t>
        </is>
      </c>
      <c r="P63" s="10" t="inlineStr">
        <is>
          <t>淨利 +$445.6M
經常 +$606.9M
一次: 無重大</t>
        </is>
      </c>
      <c r="Q63" s="10" t="inlineStr">
        <is>
          <t>淨利 +$390.1M
經常 +$433.6M
一次: 無重大</t>
        </is>
      </c>
      <c r="R63" s="10" t="inlineStr">
        <is>
          <t>淨利 +$497.8M
經常 +$637.9M
一次: 無重大</t>
        </is>
      </c>
      <c r="S63" s="11" t="n">
        <v>2.21328</v>
      </c>
      <c r="T63" s="9" t="n">
        <v>19.48202669272822</v>
      </c>
      <c r="U63" s="9" t="n">
        <v>15.20324954952203</v>
      </c>
      <c r="V63" s="9" t="n">
        <v>37.71493143572673</v>
      </c>
      <c r="W63" s="10" t="inlineStr">
        <is>
          <t>無重大</t>
        </is>
      </c>
      <c r="X63" s="10" t="inlineStr">
        <is>
          <t>四季皆正：+548 → +607 → +434 → +638（百萬）</t>
        </is>
      </c>
      <c r="Y63" s="10" t="inlineStr">
        <is>
          <t>四季營運皆正、最新季淨利為正 — 經常性已盈利</t>
        </is>
      </c>
      <c r="Z63" s="12" t="inlineStr">
        <is>
          <t>A</t>
        </is>
      </c>
      <c r="AA63" s="7" t="inlineStr">
        <is>
          <t>2026-06-30 / 2026-10-21</t>
        </is>
      </c>
    </row>
    <row r="64" ht="46" customHeight="1">
      <c r="A64" s="5" t="n">
        <v>63</v>
      </c>
      <c r="B64" s="6" t="inlineStr">
        <is>
          <t>APP</t>
        </is>
      </c>
      <c r="C64" s="7" t="inlineStr">
        <is>
          <t>AppLovin Corporation</t>
        </is>
      </c>
      <c r="D64" s="7" t="inlineStr">
        <is>
          <t>Technology</t>
        </is>
      </c>
      <c r="E64" s="7" t="inlineStr">
        <is>
          <t>Advertising Agencies</t>
        </is>
      </c>
      <c r="F64" s="8" t="n">
        <v>107.27572456</v>
      </c>
      <c r="G64" s="5" t="inlineStr">
        <is>
          <t>USD</t>
        </is>
      </c>
      <c r="H64" s="7" t="inlineStr">
        <is>
          <t>2025-09-30 / 2025-12-31 / 2026-03-31 / 2026-06-30</t>
        </is>
      </c>
      <c r="I64" s="8" t="n">
        <v>1405.045</v>
      </c>
      <c r="J64" s="8" t="n">
        <v>1657.944</v>
      </c>
      <c r="K64" s="8" t="n">
        <v>1842.449</v>
      </c>
      <c r="L64" s="8" t="n">
        <v>1923.686</v>
      </c>
      <c r="M64" s="9" t="n">
        <v>52.82461863080474</v>
      </c>
      <c r="N64" s="8" t="n">
        <v>2302.37885</v>
      </c>
      <c r="O64" s="10" t="inlineStr">
        <is>
          <t>淨利 +$835.5M
經常 +$1.08B
一次: 無重大</t>
        </is>
      </c>
      <c r="P64" s="10" t="inlineStr">
        <is>
          <t>淨利 +$1.10B
經常 +$1.28B
一次: 無重大</t>
        </is>
      </c>
      <c r="Q64" s="10" t="inlineStr">
        <is>
          <t>淨利 +$1.21B
經常 +$1.44B
一次: 無重大</t>
        </is>
      </c>
      <c r="R64" s="10" t="inlineStr">
        <is>
          <t>淨利 +$1.27B
經常 +$1.49B
一次: 無重大</t>
        </is>
      </c>
      <c r="S64" s="11" t="n">
        <v>4.5249</v>
      </c>
      <c r="T64" s="9" t="n">
        <v>77.67780188658648</v>
      </c>
      <c r="U64" s="9" t="n">
        <v>65.83912343282637</v>
      </c>
      <c r="V64" s="9" t="n">
        <v>88.26206563857096</v>
      </c>
      <c r="W64" s="10" t="inlineStr">
        <is>
          <t>無重大</t>
        </is>
      </c>
      <c r="X64" s="10" t="inlineStr">
        <is>
          <t>四季皆正：+1,079 → +1,275 → +1,440 → +1,494（百萬）</t>
        </is>
      </c>
      <c r="Y64" s="10" t="inlineStr">
        <is>
          <t>四季營運皆正、最新季淨利為正 — 經常性已盈利</t>
        </is>
      </c>
      <c r="Z64" s="12" t="inlineStr">
        <is>
          <t>A</t>
        </is>
      </c>
      <c r="AA64" s="7" t="inlineStr">
        <is>
          <t>2026-06-30 / 2026-11-04</t>
        </is>
      </c>
    </row>
    <row r="65" ht="46" customHeight="1">
      <c r="A65" s="5" t="n">
        <v>64</v>
      </c>
      <c r="B65" s="6" t="inlineStr">
        <is>
          <t>CM</t>
        </is>
      </c>
      <c r="C65" s="7" t="inlineStr">
        <is>
          <t>Canadian Imperial Bank of Commerce</t>
        </is>
      </c>
      <c r="D65" s="7" t="inlineStr">
        <is>
          <t>Finance</t>
        </is>
      </c>
      <c r="E65" s="7" t="inlineStr">
        <is>
          <t>Banks - Diversified</t>
        </is>
      </c>
      <c r="F65" s="8" t="n">
        <v>106.6848462148209</v>
      </c>
      <c r="G65" s="5" t="inlineStr">
        <is>
          <t>CAD</t>
        </is>
      </c>
      <c r="H65" s="7" t="inlineStr">
        <is>
          <t>2025-10-31 / 2026-01-31 / 2026-04-30 / 2026-07-31</t>
        </is>
      </c>
      <c r="I65" s="8" t="n">
        <v>7550</v>
      </c>
      <c r="J65" s="8" t="n">
        <v>8321</v>
      </c>
      <c r="K65" s="8" t="n">
        <v>7965</v>
      </c>
      <c r="L65" s="8" t="n">
        <v>8330</v>
      </c>
      <c r="M65" s="9" t="n">
        <v>15.29411764705881</v>
      </c>
      <c r="N65" s="8" t="n">
        <v>8566</v>
      </c>
      <c r="O65" s="10" t="inlineStr">
        <is>
          <t>淨利 +C$2.06B
經常* +C$2.79B
一次: 無重大</t>
        </is>
      </c>
      <c r="P65" s="10" t="inlineStr">
        <is>
          <t>淨利 +C$2.99B
經常* +C$3.50B
一次: 無重大</t>
        </is>
      </c>
      <c r="Q65" s="10" t="inlineStr">
        <is>
          <t>淨利 +C$2.34B
經常* +C$3.20B
一次: 無重大</t>
        </is>
      </c>
      <c r="R65" s="10" t="inlineStr">
        <is>
          <t>淨利 +C$2.27B
經常* +C$3.33B
一次: -C$207.8M（營收 2%）</t>
        </is>
      </c>
      <c r="S65" s="11" t="n">
        <v>2.83</v>
      </c>
      <c r="T65" s="9" t="n">
        <v>39.93716242508545</v>
      </c>
      <c r="U65" s="9" t="n">
        <v>27.26290516206483</v>
      </c>
      <c r="V65" s="9" t="n"/>
      <c r="W65" s="10" t="inlineStr">
        <is>
          <t>-C$207.8M・營收 2.5%</t>
        </is>
      </c>
      <c r="X65" s="10" t="inlineStr">
        <is>
          <t>四季皆正：+2,792 → +3,502 → +3,200 → +3,327（百萬）</t>
        </is>
      </c>
      <c r="Y65" s="10" t="inlineStr">
        <is>
          <t>四季營運皆正、最新季淨利為正 — 經常性已盈利</t>
        </is>
      </c>
      <c r="Z65" s="12" t="inlineStr">
        <is>
          <t>A</t>
        </is>
      </c>
      <c r="AA65" s="7" t="inlineStr">
        <is>
          <t>2026-07-31 / 2026-12-03</t>
        </is>
      </c>
    </row>
    <row r="66" ht="46" customHeight="1">
      <c r="A66" s="5" t="n">
        <v>65</v>
      </c>
      <c r="B66" s="6" t="inlineStr">
        <is>
          <t>EQNR</t>
        </is>
      </c>
      <c r="C66" s="7" t="inlineStr">
        <is>
          <t>Equinor ASA</t>
        </is>
      </c>
      <c r="D66" s="7" t="inlineStr">
        <is>
          <t>Energy</t>
        </is>
      </c>
      <c r="E66" s="7" t="inlineStr">
        <is>
          <t>Oil &amp; Gas Integrated</t>
        </is>
      </c>
      <c r="F66" s="8" t="n">
        <v>105.2364076526501</v>
      </c>
      <c r="G66" s="5" t="inlineStr">
        <is>
          <t>USD</t>
        </is>
      </c>
      <c r="H66" s="7" t="inlineStr">
        <is>
          <t>2025-09-30 / 2025-12-31 / 2026-03-31 / 2026-06-30</t>
        </is>
      </c>
      <c r="I66" s="8" t="n">
        <v>26017</v>
      </c>
      <c r="J66" s="8" t="n">
        <v>25297</v>
      </c>
      <c r="K66" s="8" t="n">
        <v>27815</v>
      </c>
      <c r="L66" s="8" t="n">
        <v>34523</v>
      </c>
      <c r="M66" s="9" t="n">
        <v>37.37763629128532</v>
      </c>
      <c r="N66" s="8" t="n">
        <v>31663.19817</v>
      </c>
      <c r="O66" s="10" t="inlineStr">
        <is>
          <t>淨利 -$210.0M
經常 +$5.29B
一次: -$391.6M（營收 2%）</t>
        </is>
      </c>
      <c r="P66" s="10" t="inlineStr">
        <is>
          <t>淨利 +$1.31B
經常 +$4.87B
一次: +$425.9M（營收 2%）</t>
        </is>
      </c>
      <c r="Q66" s="10" t="inlineStr">
        <is>
          <t>淨利 +$3.11B
經常 +$8.80B
一次: +$613.8M（營收 2%）</t>
        </is>
      </c>
      <c r="R66" s="10" t="inlineStr">
        <is>
          <t>淨利 +$4.85B
經常 +$12.86B
一次: 無重大</t>
        </is>
      </c>
      <c r="S66" s="11" t="n">
        <v>1.44</v>
      </c>
      <c r="T66" s="9" t="n">
        <v>37.25921849201981</v>
      </c>
      <c r="U66" s="9" t="n">
        <v>14.04281203835124</v>
      </c>
      <c r="V66" s="9" t="n">
        <v>45.97225038380211</v>
      </c>
      <c r="W66" s="10" t="inlineStr">
        <is>
          <t>無重大</t>
        </is>
      </c>
      <c r="X66" s="10" t="inlineStr">
        <is>
          <t>四季皆正：+5,286 → +4,872 → +8,803 → +12,863（百萬）</t>
        </is>
      </c>
      <c r="Y66" s="10" t="inlineStr">
        <is>
          <t>四季營運皆正、最新季淨利為正 — 經常性已盈利</t>
        </is>
      </c>
      <c r="Z66" s="12" t="inlineStr">
        <is>
          <t>A</t>
        </is>
      </c>
      <c r="AA66" s="7" t="inlineStr">
        <is>
          <t>2026-06-30 / 2026-10-28</t>
        </is>
      </c>
    </row>
    <row r="67" ht="46" customHeight="1">
      <c r="A67" s="5" t="n">
        <v>66</v>
      </c>
      <c r="B67" s="6" t="inlineStr">
        <is>
          <t>FCX</t>
        </is>
      </c>
      <c r="C67" s="7" t="inlineStr">
        <is>
          <t>Freeport-McMoRan Inc.</t>
        </is>
      </c>
      <c r="D67" s="7" t="inlineStr">
        <is>
          <t>Basic Materials</t>
        </is>
      </c>
      <c r="E67" s="7" t="inlineStr">
        <is>
          <t>Copper</t>
        </is>
      </c>
      <c r="F67" s="8" t="n">
        <v>104.4415544479465</v>
      </c>
      <c r="G67" s="5" t="inlineStr">
        <is>
          <t>USD</t>
        </is>
      </c>
      <c r="H67" s="7" t="inlineStr">
        <is>
          <t>2025-09-30 / 2025-12-31 / 2026-03-31 / 2026-06-30</t>
        </is>
      </c>
      <c r="I67" s="8" t="n">
        <v>6972</v>
      </c>
      <c r="J67" s="8" t="n">
        <v>5633</v>
      </c>
      <c r="K67" s="8" t="n">
        <v>6234</v>
      </c>
      <c r="L67" s="8" t="n">
        <v>7029</v>
      </c>
      <c r="M67" s="9" t="n">
        <v>-7.293590081772616</v>
      </c>
      <c r="N67" s="8" t="n">
        <v>8929.59539</v>
      </c>
      <c r="O67" s="10" t="inlineStr">
        <is>
          <t>淨利 +$674.0M
經常 +$1.96B
一次: 無重大</t>
        </is>
      </c>
      <c r="P67" s="10" t="inlineStr">
        <is>
          <t>淨利 +$406.0M
經常 +$811.0M
一次: 無重大</t>
        </is>
      </c>
      <c r="Q67" s="10" t="inlineStr">
        <is>
          <t>淨利 +$881.0M
經常 +$1.44B
一次: +$474.6M（營收 8%）</t>
        </is>
      </c>
      <c r="R67" s="10" t="inlineStr">
        <is>
          <t>淨利 +$984.0M
經常 +$1.99B
一次: 無重大</t>
        </is>
      </c>
      <c r="S67" s="11" t="n">
        <v>0.9809099999999999</v>
      </c>
      <c r="T67" s="9" t="n">
        <v>28.24014795845782</v>
      </c>
      <c r="U67" s="9" t="n">
        <v>13.99914639351259</v>
      </c>
      <c r="V67" s="9" t="n">
        <v>31.09972969127899</v>
      </c>
      <c r="W67" s="10" t="inlineStr">
        <is>
          <t>無重大</t>
        </is>
      </c>
      <c r="X67" s="10" t="inlineStr">
        <is>
          <t>四季皆正：+1,956 → +811 → +1,438 → +1,985（百萬）</t>
        </is>
      </c>
      <c r="Y67" s="10" t="inlineStr">
        <is>
          <t>四季營運皆正、最新季淨利為正 — 經常性已盈利</t>
        </is>
      </c>
      <c r="Z67" s="12" t="inlineStr">
        <is>
          <t>A</t>
        </is>
      </c>
      <c r="AA67" s="7" t="inlineStr">
        <is>
          <t>2026-06-30 / 2026-10-22</t>
        </is>
      </c>
    </row>
    <row r="68" ht="46" customHeight="1">
      <c r="A68" s="5" t="n">
        <v>67</v>
      </c>
      <c r="B68" s="6" t="inlineStr">
        <is>
          <t>CNQ</t>
        </is>
      </c>
      <c r="C68" s="7" t="inlineStr">
        <is>
          <t>Canadian Natural Resources Limited</t>
        </is>
      </c>
      <c r="D68" s="7" t="inlineStr">
        <is>
          <t>Energy</t>
        </is>
      </c>
      <c r="E68" s="7" t="inlineStr">
        <is>
          <t>Oil &amp; Gas E&amp;P</t>
        </is>
      </c>
      <c r="F68" s="8" t="n">
        <v>104.3936664</v>
      </c>
      <c r="G68" s="5" t="inlineStr">
        <is>
          <t>CAD</t>
        </is>
      </c>
      <c r="H68" s="7" t="inlineStr">
        <is>
          <t>2025-09-30 / 2025-12-31 / 2026-03-31 / 2026-06-30</t>
        </is>
      </c>
      <c r="I68" s="8" t="n">
        <v>11070</v>
      </c>
      <c r="J68" s="8" t="n">
        <v>10710</v>
      </c>
      <c r="K68" s="8" t="n">
        <v>12404</v>
      </c>
      <c r="L68" s="8" t="n">
        <v>17214</v>
      </c>
      <c r="M68" s="9" t="n">
        <v>77.92248062015503</v>
      </c>
      <c r="N68" s="8" t="n">
        <v>12103</v>
      </c>
      <c r="O68" s="10" t="inlineStr">
        <is>
          <t>淨利 +C$600.0M
經常 +C$1.08B
一次: -C$428.4M（營收 4%）</t>
        </is>
      </c>
      <c r="P68" s="10" t="inlineStr">
        <is>
          <t>淨利 +C$5.30B
經常 +C$1.79B
一次: +C$4.10B（營收 38%）</t>
        </is>
      </c>
      <c r="Q68" s="10" t="inlineStr">
        <is>
          <t>淨利 +C$1.35B
經常 +C$2.67B
一次: -C$485.9M（營收 4%）</t>
        </is>
      </c>
      <c r="R68" s="10" t="inlineStr">
        <is>
          <t>淨利 +C$4.50B
經常 +C$6.35B
一次: 無重大</t>
        </is>
      </c>
      <c r="S68" s="11" t="n">
        <v>1.45936</v>
      </c>
      <c r="T68" s="9" t="n">
        <v>36.8943882886023</v>
      </c>
      <c r="U68" s="9" t="n">
        <v>26.15894039735099</v>
      </c>
      <c r="V68" s="9" t="n">
        <v>37.24875101661438</v>
      </c>
      <c r="W68" s="10" t="inlineStr">
        <is>
          <t>無重大</t>
        </is>
      </c>
      <c r="X68" s="10" t="inlineStr">
        <is>
          <t>四季皆正：+1,084 → +1,794 → +2,671 → +6,351（百萬）</t>
        </is>
      </c>
      <c r="Y68" s="10" t="inlineStr">
        <is>
          <t>四季營運皆正、最新季淨利為正 — 經常性已盈利</t>
        </is>
      </c>
      <c r="Z68" s="12" t="inlineStr">
        <is>
          <t>A</t>
        </is>
      </c>
      <c r="AA68" s="7" t="inlineStr">
        <is>
          <t>2026-06-30 / 2026-11-05</t>
        </is>
      </c>
    </row>
    <row r="69" ht="46" customHeight="1">
      <c r="A69" s="5" t="n">
        <v>68</v>
      </c>
      <c r="B69" s="6" t="inlineStr">
        <is>
          <t>BX</t>
        </is>
      </c>
      <c r="C69" s="7" t="inlineStr">
        <is>
          <t>Blackstone Inc.</t>
        </is>
      </c>
      <c r="D69" s="7" t="inlineStr">
        <is>
          <t>Finance</t>
        </is>
      </c>
      <c r="E69" s="7" t="inlineStr">
        <is>
          <t>Asset Management</t>
        </is>
      </c>
      <c r="F69" s="8" t="n">
        <v>102.1976092711</v>
      </c>
      <c r="G69" s="5" t="inlineStr">
        <is>
          <t>USD</t>
        </is>
      </c>
      <c r="H69" s="7" t="inlineStr">
        <is>
          <t>2025-09-30 / 2025-12-31 / 2026-03-31 / 2026-06-30</t>
        </is>
      </c>
      <c r="I69" s="8" t="n">
        <v>2685.881</v>
      </c>
      <c r="J69" s="8" t="n">
        <v>3736.455</v>
      </c>
      <c r="K69" s="8" t="n">
        <v>3002.779</v>
      </c>
      <c r="L69" s="8" t="n">
        <v>4187.932</v>
      </c>
      <c r="M69" s="9" t="n">
        <v>32.47767645313415</v>
      </c>
      <c r="N69" s="8" t="n">
        <v>4285.56667</v>
      </c>
      <c r="O69" s="10" t="inlineStr">
        <is>
          <t>淨利 +$624.9M
經常* +$1.45B
一次: 無重大</t>
        </is>
      </c>
      <c r="P69" s="10" t="inlineStr">
        <is>
          <t>淨利 +$1.02B
經常* +$2.36B
一次: 無重大</t>
        </is>
      </c>
      <c r="Q69" s="10" t="inlineStr">
        <is>
          <t>淨利 +$649.7M
經常* +$1.46B
一次: 無重大</t>
        </is>
      </c>
      <c r="R69" s="10" t="inlineStr">
        <is>
          <t>淨利 +$1.23B
經常* +$2.81B
一次: 無重大</t>
        </is>
      </c>
      <c r="S69" s="11" t="n">
        <v>1.7633</v>
      </c>
      <c r="T69" s="9" t="n">
        <v>67.06059219681696</v>
      </c>
      <c r="U69" s="9" t="n">
        <v>29.35073921926145</v>
      </c>
      <c r="V69" s="9" t="n"/>
      <c r="W69" s="10" t="inlineStr">
        <is>
          <t>無重大</t>
        </is>
      </c>
      <c r="X69" s="10" t="inlineStr">
        <is>
          <t>四季皆正：+1,447 → +2,357 → +1,455 → +2,808（百萬）</t>
        </is>
      </c>
      <c r="Y69" s="10" t="inlineStr">
        <is>
          <t>四季營運皆正、最新季淨利為正 — 經常性已盈利</t>
        </is>
      </c>
      <c r="Z69" s="12" t="inlineStr">
        <is>
          <t>A</t>
        </is>
      </c>
      <c r="AA69" s="7" t="inlineStr">
        <is>
          <t>2026-06-30 / 2026-10-22</t>
        </is>
      </c>
    </row>
    <row r="70" ht="46" customHeight="1">
      <c r="A70" s="5" t="n">
        <v>69</v>
      </c>
      <c r="B70" s="6" t="inlineStr">
        <is>
          <t>CME</t>
        </is>
      </c>
      <c r="C70" s="7" t="inlineStr">
        <is>
          <t>CME Group Inc.</t>
        </is>
      </c>
      <c r="D70" s="7" t="inlineStr">
        <is>
          <t>Finance</t>
        </is>
      </c>
      <c r="E70" s="7" t="inlineStr">
        <is>
          <t>Financial Data &amp; Stock Exchanges</t>
        </is>
      </c>
      <c r="F70" s="8" t="n">
        <v>101.14605088925</v>
      </c>
      <c r="G70" s="5" t="inlineStr">
        <is>
          <t>USD</t>
        </is>
      </c>
      <c r="H70" s="7" t="inlineStr">
        <is>
          <t>2025-09-30 / 2025-12-31 / 2026-03-31 / 2026-06-30</t>
        </is>
      </c>
      <c r="I70" s="8" t="n">
        <v>1537.6</v>
      </c>
      <c r="J70" s="8" t="n">
        <v>1648.7</v>
      </c>
      <c r="K70" s="8" t="n">
        <v>1880.1</v>
      </c>
      <c r="L70" s="8" t="n">
        <v>1706.2</v>
      </c>
      <c r="M70" s="9" t="n">
        <v>0.8392434988179653</v>
      </c>
      <c r="N70" s="8" t="n">
        <v>1731.65853</v>
      </c>
      <c r="O70" s="10" t="inlineStr">
        <is>
          <t>淨利 +$896.6M
經常 +$972.6M
一次: +$1.19B（營收 78%）</t>
        </is>
      </c>
      <c r="P70" s="10" t="inlineStr">
        <is>
          <t>淨利 +$1.17B
經常 +$1.02B
一次: +$1.33B（營收 81%）</t>
        </is>
      </c>
      <c r="Q70" s="10" t="inlineStr">
        <is>
          <t>淨利 +$1.17B
經常 +$1.31B
一次: +$1.06B（營收 56%）</t>
        </is>
      </c>
      <c r="R70" s="10" t="inlineStr">
        <is>
          <t>淨利 +$1.04B
經常 +$1.11B
一次: +$1.12B（營收 66%）</t>
        </is>
      </c>
      <c r="S70" s="11" t="n">
        <v>2.96051</v>
      </c>
      <c r="T70" s="9" t="n">
        <v>64.88688313210643</v>
      </c>
      <c r="U70" s="9" t="n">
        <v>61.05966475208064</v>
      </c>
      <c r="V70" s="9" t="n">
        <v>86.314617278162</v>
      </c>
      <c r="W70" s="10" t="inlineStr">
        <is>
          <t>+$1.12B・營收 65.8%</t>
        </is>
      </c>
      <c r="X70" s="10" t="inlineStr">
        <is>
          <t>四季皆正：+973 → +1,020 → +1,310 → +1,107（百萬）</t>
        </is>
      </c>
      <c r="Y70" s="10" t="inlineStr">
        <is>
          <t>四季營運皆正、最新季淨利為正 — 經常性已盈利</t>
        </is>
      </c>
      <c r="Z70" s="12" t="inlineStr">
        <is>
          <t>A</t>
        </is>
      </c>
      <c r="AA70" s="7" t="inlineStr">
        <is>
          <t>2026-06-30 / 2026-10-21</t>
        </is>
      </c>
    </row>
    <row r="71" ht="46" customHeight="1">
      <c r="A71" s="5" t="n">
        <v>70</v>
      </c>
      <c r="B71" s="6" t="inlineStr">
        <is>
          <t>PNC</t>
        </is>
      </c>
      <c r="C71" s="7" t="inlineStr">
        <is>
          <t>The PNC Financial Services Group, Inc.</t>
        </is>
      </c>
      <c r="D71" s="7" t="inlineStr">
        <is>
          <t>Finance</t>
        </is>
      </c>
      <c r="E71" s="7" t="inlineStr">
        <is>
          <t>Banks - Regional</t>
        </is>
      </c>
      <c r="F71" s="8" t="n">
        <v>97.98056461484921</v>
      </c>
      <c r="G71" s="5" t="inlineStr">
        <is>
          <t>USD</t>
        </is>
      </c>
      <c r="H71" s="7" t="inlineStr">
        <is>
          <t>2025-09-30 / 2025-12-31 / 2026-03-31 / 2026-06-30</t>
        </is>
      </c>
      <c r="I71" s="8" t="n">
        <v>5900</v>
      </c>
      <c r="J71" s="8" t="n">
        <v>6068</v>
      </c>
      <c r="K71" s="8" t="n">
        <v>6157</v>
      </c>
      <c r="L71" s="8" t="n">
        <v>6429</v>
      </c>
      <c r="M71" s="9" t="n">
        <v>13.54645001766159</v>
      </c>
      <c r="N71" s="8" t="n">
        <v>6738.5</v>
      </c>
      <c r="O71" s="10" t="inlineStr">
        <is>
          <t>淨利 +$1.72B
經常* +$2.29B
一次: 無重大</t>
        </is>
      </c>
      <c r="P71" s="10" t="inlineStr">
        <is>
          <t>淨利 +$1.92B
經常* +$2.23B
一次: +$94.3M（營收 2%）</t>
        </is>
      </c>
      <c r="Q71" s="10" t="inlineStr">
        <is>
          <t>淨利 +$1.68B
經常* +$2.27B
一次: -$79.4M（營收 1%）</t>
        </is>
      </c>
      <c r="R71" s="10" t="inlineStr">
        <is>
          <t>淨利 +$1.94B
經常* +$2.23B
一次: +$356.0M（營收 6%）</t>
        </is>
      </c>
      <c r="S71" s="11" t="n">
        <v>5.09928</v>
      </c>
      <c r="T71" s="9" t="n">
        <v>34.68643209297777</v>
      </c>
      <c r="U71" s="9" t="n">
        <v>30.19132057862809</v>
      </c>
      <c r="V71" s="9" t="n"/>
      <c r="W71" s="10" t="inlineStr">
        <is>
          <t>+$356.0M・營收 5.5%</t>
        </is>
      </c>
      <c r="X71" s="10" t="inlineStr">
        <is>
          <t>四季皆正：+2,287 → +2,235 → +2,266 → +2,230（百萬）</t>
        </is>
      </c>
      <c r="Y71" s="10" t="inlineStr">
        <is>
          <t>四季營運皆正、最新季淨利為正 — 經常性已盈利</t>
        </is>
      </c>
      <c r="Z71" s="12" t="inlineStr">
        <is>
          <t>A</t>
        </is>
      </c>
      <c r="AA71" s="7" t="inlineStr">
        <is>
          <t>2026-06-30 / 2026-10-15</t>
        </is>
      </c>
    </row>
    <row r="72" ht="46" customHeight="1">
      <c r="A72" s="5" t="n">
        <v>71</v>
      </c>
      <c r="B72" s="6" t="inlineStr">
        <is>
          <t>GD</t>
        </is>
      </c>
      <c r="C72" s="7" t="inlineStr">
        <is>
          <t>General Dynamics Corporation</t>
        </is>
      </c>
      <c r="D72" s="7" t="inlineStr">
        <is>
          <t>Industrials</t>
        </is>
      </c>
      <c r="E72" s="7" t="inlineStr">
        <is>
          <t>Aerospace &amp; Defense</t>
        </is>
      </c>
      <c r="F72" s="8" t="n">
        <v>97.23555031109989</v>
      </c>
      <c r="G72" s="5" t="inlineStr">
        <is>
          <t>USD</t>
        </is>
      </c>
      <c r="H72" s="7" t="inlineStr">
        <is>
          <t>2025-09-30 / 2025-12-31 / 2026-03-31 / 2026-06-30</t>
        </is>
      </c>
      <c r="I72" s="8" t="n">
        <v>12907</v>
      </c>
      <c r="J72" s="8" t="n">
        <v>14379</v>
      </c>
      <c r="K72" s="8" t="n">
        <v>13481</v>
      </c>
      <c r="L72" s="8" t="n">
        <v>14094</v>
      </c>
      <c r="M72" s="9" t="n">
        <v>8.074534161490687</v>
      </c>
      <c r="N72" s="8" t="n">
        <v>14673.26417</v>
      </c>
      <c r="O72" s="10" t="inlineStr">
        <is>
          <t>淨利 +$1.06B
經常 +$1.33B
一次: 無重大</t>
        </is>
      </c>
      <c r="P72" s="10" t="inlineStr">
        <is>
          <t>淨利 +$1.14B
經常 +$1.45B
一次: 無重大</t>
        </is>
      </c>
      <c r="Q72" s="10" t="inlineStr">
        <is>
          <t>淨利 +$1.12B
經常 +$1.42B
一次: 無重大</t>
        </is>
      </c>
      <c r="R72" s="10" t="inlineStr">
        <is>
          <t>淨利 +$1.16B
經常 +$1.46B
一次: 無重大</t>
        </is>
      </c>
      <c r="S72" s="11" t="n">
        <v>4.51165</v>
      </c>
      <c r="T72" s="9" t="n">
        <v>10.35901802185327</v>
      </c>
      <c r="U72" s="9" t="n">
        <v>8.230452674897119</v>
      </c>
      <c r="V72" s="9" t="n">
        <v>15.4888605080176</v>
      </c>
      <c r="W72" s="10" t="inlineStr">
        <is>
          <t>無重大</t>
        </is>
      </c>
      <c r="X72" s="10" t="inlineStr">
        <is>
          <t>四季皆正：+1,331 → +1,452 → +1,420 → +1,460（百萬）</t>
        </is>
      </c>
      <c r="Y72" s="10" t="inlineStr">
        <is>
          <t>四季營運皆正、最新季淨利為正 — 經常性已盈利</t>
        </is>
      </c>
      <c r="Z72" s="12" t="inlineStr">
        <is>
          <t>A</t>
        </is>
      </c>
      <c r="AA72" s="7" t="inlineStr">
        <is>
          <t>2026-06-30 / 2026-10-28</t>
        </is>
      </c>
    </row>
    <row r="73" ht="46" customHeight="1">
      <c r="A73" s="5" t="n">
        <v>72</v>
      </c>
      <c r="B73" s="6" t="inlineStr">
        <is>
          <t>KKR</t>
        </is>
      </c>
      <c r="C73" s="7" t="inlineStr">
        <is>
          <t>KKR &amp; Co. Inc.</t>
        </is>
      </c>
      <c r="D73" s="7" t="inlineStr">
        <is>
          <t>Finance</t>
        </is>
      </c>
      <c r="E73" s="7" t="inlineStr">
        <is>
          <t>Asset Management</t>
        </is>
      </c>
      <c r="F73" s="8" t="n">
        <v>96.70228329539627</v>
      </c>
      <c r="G73" s="5" t="inlineStr">
        <is>
          <t>USD</t>
        </is>
      </c>
      <c r="H73" s="7" t="inlineStr">
        <is>
          <t>2025-09-30 / 2025-12-31 / 2026-03-31 / 2026-06-30</t>
        </is>
      </c>
      <c r="I73" s="8" t="n">
        <v>5464.926</v>
      </c>
      <c r="J73" s="8" t="n">
        <v>5685.044</v>
      </c>
      <c r="K73" s="8" t="n">
        <v>4252.726</v>
      </c>
      <c r="L73" s="8" t="n">
        <v>5657.34</v>
      </c>
      <c r="M73" s="9" t="n">
        <v>13.08168756430048</v>
      </c>
      <c r="N73" s="8" t="n">
        <v>2758.79146</v>
      </c>
      <c r="O73" s="10" t="inlineStr">
        <is>
          <t>淨利 +$859.9M
經常 +$512.7M
一次: +$1.03B（營收 19%）</t>
        </is>
      </c>
      <c r="P73" s="10" t="inlineStr">
        <is>
          <t>淨利 +$1.11B
經常 +$356.9M
一次: +$2.51B（營收 44%）</t>
        </is>
      </c>
      <c r="Q73" s="10" t="inlineStr">
        <is>
          <t>淨利 +$364.8M
經常 +$456.5M
一次: -$297.9M（營收 7%）</t>
        </is>
      </c>
      <c r="R73" s="10" t="inlineStr">
        <is>
          <t>淨利 +$660.1M
經常 +$325.7M
一次: +$893.8M（營收 16%）</t>
        </is>
      </c>
      <c r="S73" s="11" t="n">
        <v>1.70988</v>
      </c>
      <c r="T73" s="9" t="n">
        <v>5.757370071447006</v>
      </c>
      <c r="U73" s="9" t="n">
        <v>11.66719695121736</v>
      </c>
      <c r="V73" s="9" t="n">
        <v>18.89471023484535</v>
      </c>
      <c r="W73" s="10" t="inlineStr">
        <is>
          <t>+$893.8M・營收 15.8%</t>
        </is>
      </c>
      <c r="X73" s="10" t="inlineStr">
        <is>
          <t>四季皆正：+513 → +357 → +456 → +326（百萬）</t>
        </is>
      </c>
      <c r="Y73" s="10" t="inlineStr">
        <is>
          <t>四季營運皆正、最新季淨利為正 — 經常性已盈利</t>
        </is>
      </c>
      <c r="Z73" s="12" t="inlineStr">
        <is>
          <t>A</t>
        </is>
      </c>
      <c r="AA73" s="7" t="inlineStr">
        <is>
          <t>2026-06-30 / 2026-11-05</t>
        </is>
      </c>
    </row>
    <row r="74" ht="46" customHeight="1">
      <c r="A74" s="5" t="n">
        <v>73</v>
      </c>
      <c r="B74" s="6" t="inlineStr">
        <is>
          <t>PWR</t>
        </is>
      </c>
      <c r="C74" s="7" t="inlineStr">
        <is>
          <t>Quanta Services, Inc.</t>
        </is>
      </c>
      <c r="D74" s="7" t="inlineStr">
        <is>
          <t>Industrials</t>
        </is>
      </c>
      <c r="E74" s="7" t="inlineStr">
        <is>
          <t>Engineering &amp; Construction</t>
        </is>
      </c>
      <c r="F74" s="8" t="n">
        <v>91.99418730511306</v>
      </c>
      <c r="G74" s="5" t="inlineStr">
        <is>
          <t>USD</t>
        </is>
      </c>
      <c r="H74" s="7" t="inlineStr">
        <is>
          <t>2025-09-30 / 2025-12-31 / 2026-03-31 / 2026-06-30</t>
        </is>
      </c>
      <c r="I74" s="8" t="n">
        <v>7631.408</v>
      </c>
      <c r="J74" s="8" t="n">
        <v>7841.948</v>
      </c>
      <c r="K74" s="8" t="n">
        <v>7874.787</v>
      </c>
      <c r="L74" s="8" t="n">
        <v>9556.996999999999</v>
      </c>
      <c r="M74" s="9" t="n">
        <v>41.10419493143886</v>
      </c>
      <c r="N74" s="8" t="n">
        <v>11159.38597</v>
      </c>
      <c r="O74" s="10" t="inlineStr">
        <is>
          <t>淨利 +$339.4M
經常 +$510.3M
一次: 無重大</t>
        </is>
      </c>
      <c r="P74" s="10" t="inlineStr">
        <is>
          <t>淨利 +$315.4M
經常 +$480.2M
一次: 無重大</t>
        </is>
      </c>
      <c r="Q74" s="10" t="inlineStr">
        <is>
          <t>淨利 +$220.6M
經常 +$334.2M
一次: 無重大</t>
        </is>
      </c>
      <c r="R74" s="10" t="inlineStr">
        <is>
          <t>淨利 +$451.4M
經常 +$689.7M
一次: 無重大</t>
        </is>
      </c>
      <c r="S74" s="11" t="n">
        <v>4.77992</v>
      </c>
      <c r="T74" s="9" t="n">
        <v>7.217026436233056</v>
      </c>
      <c r="U74" s="9" t="n">
        <v>4.723042185740981</v>
      </c>
      <c r="V74" s="9" t="n">
        <v>16.16802851355923</v>
      </c>
      <c r="W74" s="10" t="inlineStr">
        <is>
          <t>無重大</t>
        </is>
      </c>
      <c r="X74" s="10" t="inlineStr">
        <is>
          <t>四季皆正：+510 → +480 → +334 → +690（百萬）</t>
        </is>
      </c>
      <c r="Y74" s="10" t="inlineStr">
        <is>
          <t>四季營運皆正、最新季淨利為正 — 經常性已盈利</t>
        </is>
      </c>
      <c r="Z74" s="12" t="inlineStr">
        <is>
          <t>A</t>
        </is>
      </c>
      <c r="AA74" s="7" t="inlineStr">
        <is>
          <t>2026-06-30 / 2026-10-29</t>
        </is>
      </c>
    </row>
    <row r="75" ht="46" customHeight="1">
      <c r="A75" s="5" t="n">
        <v>74</v>
      </c>
      <c r="B75" s="6" t="inlineStr">
        <is>
          <t>DASH</t>
        </is>
      </c>
      <c r="C75" s="7" t="inlineStr">
        <is>
          <t>DoorDash, Inc.</t>
        </is>
      </c>
      <c r="D75" s="7" t="inlineStr">
        <is>
          <t>Consumer Discretionary</t>
        </is>
      </c>
      <c r="E75" s="7" t="inlineStr">
        <is>
          <t>Internet Retail</t>
        </is>
      </c>
      <c r="F75" s="8" t="n">
        <v>91.7421722008483</v>
      </c>
      <c r="G75" s="5" t="inlineStr">
        <is>
          <t>USD</t>
        </is>
      </c>
      <c r="H75" s="7" t="inlineStr">
        <is>
          <t>2025-09-30 / 2025-12-31 / 2026-03-31 / 2026-06-30</t>
        </is>
      </c>
      <c r="I75" s="8" t="n">
        <v>3446</v>
      </c>
      <c r="J75" s="8" t="n">
        <v>3955</v>
      </c>
      <c r="K75" s="8" t="n">
        <v>4036</v>
      </c>
      <c r="L75" s="8" t="n">
        <v>4454</v>
      </c>
      <c r="M75" s="9" t="n">
        <v>35.6272838002436</v>
      </c>
      <c r="N75" s="8" t="n">
        <v>4782.86468</v>
      </c>
      <c r="O75" s="10" t="inlineStr">
        <is>
          <t>淨利 +$244.0M
經常 +$259.0M
一次: 無重大</t>
        </is>
      </c>
      <c r="P75" s="10" t="inlineStr">
        <is>
          <t>淨利 +$213.0M
經常 +$147.0M
一次: 無重大</t>
        </is>
      </c>
      <c r="Q75" s="10" t="inlineStr">
        <is>
          <t>淨利 +$184.0M
經常 +$199.0M
一次: -$46.0M（營收 1%）</t>
        </is>
      </c>
      <c r="R75" s="10" t="inlineStr">
        <is>
          <t>淨利 +$200.0M
經常 +$158.0M
一次: 無重大</t>
        </is>
      </c>
      <c r="S75" s="11" t="n">
        <v>0.8343699999999999</v>
      </c>
      <c r="T75" s="9" t="n">
        <v>3.547373147732375</v>
      </c>
      <c r="U75" s="9" t="n">
        <v>4.490345756623261</v>
      </c>
      <c r="V75" s="9" t="n">
        <v>52.69420745397395</v>
      </c>
      <c r="W75" s="10" t="inlineStr">
        <is>
          <t>無重大</t>
        </is>
      </c>
      <c r="X75" s="10" t="inlineStr">
        <is>
          <t>四季皆正：+259 → +147 → +199 → +158（百萬）</t>
        </is>
      </c>
      <c r="Y75" s="10" t="inlineStr">
        <is>
          <t>四季營運皆正、最新季淨利為正 — 經常性已盈利</t>
        </is>
      </c>
      <c r="Z75" s="12" t="inlineStr">
        <is>
          <t>A</t>
        </is>
      </c>
      <c r="AA75" s="7" t="inlineStr">
        <is>
          <t>2026-06-30 / 2026-11-04</t>
        </is>
      </c>
    </row>
    <row r="76" ht="46" customHeight="1">
      <c r="A76" s="5" t="n">
        <v>75</v>
      </c>
      <c r="B76" s="6" t="inlineStr">
        <is>
          <t>CSX</t>
        </is>
      </c>
      <c r="C76" s="7" t="inlineStr">
        <is>
          <t>CSX Corporation</t>
        </is>
      </c>
      <c r="D76" s="7" t="inlineStr">
        <is>
          <t>Industrials</t>
        </is>
      </c>
      <c r="E76" s="7" t="inlineStr">
        <is>
          <t>Railroads</t>
        </is>
      </c>
      <c r="F76" s="8" t="n">
        <v>91.53078564858497</v>
      </c>
      <c r="G76" s="5" t="inlineStr">
        <is>
          <t>USD</t>
        </is>
      </c>
      <c r="H76" s="7" t="inlineStr">
        <is>
          <t>2025-09-30 / 2025-12-31 / 2026-03-31 / 2026-06-30</t>
        </is>
      </c>
      <c r="I76" s="8" t="n">
        <v>3587</v>
      </c>
      <c r="J76" s="8" t="n">
        <v>3508</v>
      </c>
      <c r="K76" s="8" t="n">
        <v>3482</v>
      </c>
      <c r="L76" s="8" t="n">
        <v>3935</v>
      </c>
      <c r="M76" s="9" t="n">
        <v>10.10072747621713</v>
      </c>
      <c r="N76" s="8" t="n">
        <v>3836.56434</v>
      </c>
      <c r="O76" s="10" t="inlineStr">
        <is>
          <t>淨利 +$694.0M
經常 +$1.25B
一次: -$126.7M（營收 4%）</t>
        </is>
      </c>
      <c r="P76" s="10" t="inlineStr">
        <is>
          <t>淨利 +$720.0M
經常 +$1.14B
一次: 無重大</t>
        </is>
      </c>
      <c r="Q76" s="10" t="inlineStr">
        <is>
          <t>淨利 +$807.0M
經常 +$1.25B
一次: 無重大</t>
        </is>
      </c>
      <c r="R76" s="10" t="inlineStr">
        <is>
          <t>淨利 +$1.00B
經常 +$1.51B
一次: 無重大</t>
        </is>
      </c>
      <c r="S76" s="11" t="n">
        <v>0.49736</v>
      </c>
      <c r="T76" s="9" t="n">
        <v>38.27191867852605</v>
      </c>
      <c r="U76" s="9" t="n">
        <v>25.46378653113088</v>
      </c>
      <c r="V76" s="9" t="n">
        <v>38.27191867852605</v>
      </c>
      <c r="W76" s="10" t="inlineStr">
        <is>
          <t>無重大</t>
        </is>
      </c>
      <c r="X76" s="10" t="inlineStr">
        <is>
          <t>四季皆正：+1,251 → +1,143 → +1,253 → +1,506（百萬）</t>
        </is>
      </c>
      <c r="Y76" s="10" t="inlineStr">
        <is>
          <t>四季營運皆正、最新季淨利為正 — 經常性已盈利</t>
        </is>
      </c>
      <c r="Z76" s="12" t="inlineStr">
        <is>
          <t>A</t>
        </is>
      </c>
      <c r="AA76" s="7" t="inlineStr">
        <is>
          <t>2026-06-30 / 2026-10-22</t>
        </is>
      </c>
    </row>
    <row r="77" ht="46" customHeight="1">
      <c r="A77" s="5" t="n">
        <v>76</v>
      </c>
      <c r="B77" s="6" t="inlineStr">
        <is>
          <t>ICE</t>
        </is>
      </c>
      <c r="C77" s="7" t="inlineStr">
        <is>
          <t>Intercontinental Exchange, Inc.</t>
        </is>
      </c>
      <c r="D77" s="7" t="inlineStr">
        <is>
          <t>Finance</t>
        </is>
      </c>
      <c r="E77" s="7" t="inlineStr">
        <is>
          <t>Financial Data &amp; Stock Exchanges</t>
        </is>
      </c>
      <c r="F77" s="8" t="n">
        <v>90.53047497324111</v>
      </c>
      <c r="G77" s="5" t="inlineStr">
        <is>
          <t>USD</t>
        </is>
      </c>
      <c r="H77" s="7" t="inlineStr">
        <is>
          <t>2025-09-30 / 2025-12-31 / 2026-03-31 / 2026-06-30</t>
        </is>
      </c>
      <c r="I77" s="8" t="n">
        <v>3007</v>
      </c>
      <c r="J77" s="8" t="n">
        <v>3142</v>
      </c>
      <c r="K77" s="8" t="n">
        <v>3666</v>
      </c>
      <c r="L77" s="8" t="n">
        <v>3611</v>
      </c>
      <c r="M77" s="9" t="n">
        <v>10.69895769466584</v>
      </c>
      <c r="N77" s="8" t="n">
        <v>2723.97664</v>
      </c>
      <c r="O77" s="10" t="inlineStr">
        <is>
          <t>淨利 +$816.0M
經常 +$1.18B
一次: 無重大</t>
        </is>
      </c>
      <c r="P77" s="10" t="inlineStr">
        <is>
          <t>淨利 +$851.0M
經常 +$1.26B
一次: 無重大</t>
        </is>
      </c>
      <c r="Q77" s="10" t="inlineStr">
        <is>
          <t>淨利 +$1.41B
經常 +$1.71B
一次: 無重大</t>
        </is>
      </c>
      <c r="R77" s="10" t="inlineStr">
        <is>
          <t>淨利 +$958.0M
經常 +$1.40B
一次: 無重大</t>
        </is>
      </c>
      <c r="S77" s="11" t="n">
        <v>1.96263</v>
      </c>
      <c r="T77" s="9" t="n">
        <v>38.85350318471338</v>
      </c>
      <c r="U77" s="9" t="n">
        <v>26.53004707837164</v>
      </c>
      <c r="V77" s="9" t="n">
        <v>53.03240099695375</v>
      </c>
      <c r="W77" s="10" t="inlineStr">
        <is>
          <t>無重大</t>
        </is>
      </c>
      <c r="X77" s="10" t="inlineStr">
        <is>
          <t>四季皆正：+1,183 → +1,256 → +1,706 → +1,403（百萬）</t>
        </is>
      </c>
      <c r="Y77" s="10" t="inlineStr">
        <is>
          <t>四季營運皆正、最新季淨利為正 — 經常性已盈利</t>
        </is>
      </c>
      <c r="Z77" s="12" t="inlineStr">
        <is>
          <t>A</t>
        </is>
      </c>
      <c r="AA77" s="7" t="inlineStr">
        <is>
          <t>2026-06-30 / 2026-10-29</t>
        </is>
      </c>
    </row>
    <row r="78" ht="46" customHeight="1">
      <c r="A78" s="5" t="n">
        <v>77</v>
      </c>
      <c r="B78" s="6" t="inlineStr">
        <is>
          <t>MAR</t>
        </is>
      </c>
      <c r="C78" s="7" t="inlineStr">
        <is>
          <t>Marriott International, Inc.</t>
        </is>
      </c>
      <c r="D78" s="7" t="inlineStr">
        <is>
          <t>Consumer Discretionary</t>
        </is>
      </c>
      <c r="E78" s="7" t="inlineStr">
        <is>
          <t>Lodging</t>
        </is>
      </c>
      <c r="F78" s="8" t="n">
        <v>87.75046357511964</v>
      </c>
      <c r="G78" s="5" t="inlineStr">
        <is>
          <t>USD</t>
        </is>
      </c>
      <c r="H78" s="7" t="inlineStr">
        <is>
          <t>2025-09-30 / 2025-12-31 / 2026-03-31 / 2026-06-30</t>
        </is>
      </c>
      <c r="I78" s="8" t="n">
        <v>6489</v>
      </c>
      <c r="J78" s="8" t="n">
        <v>6690</v>
      </c>
      <c r="K78" s="8" t="n">
        <v>6654</v>
      </c>
      <c r="L78" s="8" t="n">
        <v>7071</v>
      </c>
      <c r="M78" s="9" t="n">
        <v>4.848754448398584</v>
      </c>
      <c r="N78" s="8" t="n">
        <v>7103.05631</v>
      </c>
      <c r="O78" s="10" t="inlineStr">
        <is>
          <t>淨利 +$728.0M
經常 +$1.14B
一次: 無重大</t>
        </is>
      </c>
      <c r="P78" s="10" t="inlineStr">
        <is>
          <t>淨利 +$445.0M
經常 +$806.0M
一次: 無重大</t>
        </is>
      </c>
      <c r="Q78" s="10" t="inlineStr">
        <is>
          <t>淨利 +$648.0M
經常 +$1.07B
一次: 無重大</t>
        </is>
      </c>
      <c r="R78" s="10" t="inlineStr">
        <is>
          <t>淨利 +$766.0M
經常 +$1.22B
一次: 無重大</t>
        </is>
      </c>
      <c r="S78" s="11" t="n">
        <v>3.02513</v>
      </c>
      <c r="T78" s="9" t="n">
        <v>17.23942865224155</v>
      </c>
      <c r="U78" s="9" t="n">
        <v>10.83297977655211</v>
      </c>
      <c r="V78" s="9" t="n">
        <v>21.977089520577</v>
      </c>
      <c r="W78" s="10" t="inlineStr">
        <is>
          <t>無重大</t>
        </is>
      </c>
      <c r="X78" s="10" t="inlineStr">
        <is>
          <t>四季皆正：+1,140 → +806 → +1,068 → +1,219（百萬）</t>
        </is>
      </c>
      <c r="Y78" s="10" t="inlineStr">
        <is>
          <t>四季營運皆正、最新季淨利為正 — 經常性已盈利</t>
        </is>
      </c>
      <c r="Z78" s="12" t="inlineStr">
        <is>
          <t>A</t>
        </is>
      </c>
      <c r="AA78" s="7" t="inlineStr">
        <is>
          <t>2026-06-30 / 2026-11-03</t>
        </is>
      </c>
    </row>
    <row r="79" ht="46" customHeight="1">
      <c r="A79" s="5" t="n">
        <v>78</v>
      </c>
      <c r="B79" s="6" t="inlineStr">
        <is>
          <t>REGN</t>
        </is>
      </c>
      <c r="C79" s="7" t="inlineStr">
        <is>
          <t>Regeneron Pharmaceuticals, Inc.</t>
        </is>
      </c>
      <c r="D79" s="7" t="inlineStr">
        <is>
          <t>Health Care</t>
        </is>
      </c>
      <c r="E79" s="7" t="inlineStr">
        <is>
          <t>Biotechnology</t>
        </is>
      </c>
      <c r="F79" s="8" t="n">
        <v>85.21790266728058</v>
      </c>
      <c r="G79" s="5" t="inlineStr">
        <is>
          <t>USD</t>
        </is>
      </c>
      <c r="H79" s="7" t="inlineStr">
        <is>
          <t>2025-09-30 / 2025-12-31 / 2026-03-31 / 2026-06-30</t>
        </is>
      </c>
      <c r="I79" s="8" t="n">
        <v>3754.3</v>
      </c>
      <c r="J79" s="8" t="n">
        <v>3884.3</v>
      </c>
      <c r="K79" s="8" t="n">
        <v>3605.4</v>
      </c>
      <c r="L79" s="8" t="n">
        <v>4290.7</v>
      </c>
      <c r="M79" s="9" t="n">
        <v>16.73468277288062</v>
      </c>
      <c r="N79" s="8" t="n">
        <v>4628.22384</v>
      </c>
      <c r="O79" s="10" t="inlineStr">
        <is>
          <t>淨利 +$1.46B
經常 +$1.11B
一次: +$409.5M（營收 11%）</t>
        </is>
      </c>
      <c r="P79" s="10" t="inlineStr">
        <is>
          <t>淨利 +$844.6M
經常 +$898.6M
一次: 無重大</t>
        </is>
      </c>
      <c r="Q79" s="10" t="inlineStr">
        <is>
          <t>淨利 +$727.2M
經常 +$744.8M
一次: -$67.3M（營收 2%）</t>
        </is>
      </c>
      <c r="R79" s="10" t="inlineStr">
        <is>
          <t>淨利 +$1.30B
經常 +$1.42B
一次: -$55.3M（營收 1%）</t>
        </is>
      </c>
      <c r="S79" s="11" t="n">
        <v>15.60878</v>
      </c>
      <c r="T79" s="9" t="n">
        <v>33.10648612114574</v>
      </c>
      <c r="U79" s="9" t="n">
        <v>30.22583727596896</v>
      </c>
      <c r="V79" s="9" t="n">
        <v>86.56396392197078</v>
      </c>
      <c r="W79" s="10" t="inlineStr">
        <is>
          <t>-$55.3M・營收 1.3%</t>
        </is>
      </c>
      <c r="X79" s="10" t="inlineStr">
        <is>
          <t>四季皆正：+1,110 → +899 → +745 → +1,420（百萬）</t>
        </is>
      </c>
      <c r="Y79" s="10" t="inlineStr">
        <is>
          <t>四季營運皆正、最新季淨利為正 — 經常性已盈利</t>
        </is>
      </c>
      <c r="Z79" s="12" t="inlineStr">
        <is>
          <t>A</t>
        </is>
      </c>
      <c r="AA79" s="7" t="inlineStr">
        <is>
          <t>2026-06-30 / 2026-10-28</t>
        </is>
      </c>
    </row>
    <row r="80" ht="46" customHeight="1">
      <c r="A80" s="5" t="n">
        <v>79</v>
      </c>
      <c r="B80" s="6" t="inlineStr">
        <is>
          <t>CDNS</t>
        </is>
      </c>
      <c r="C80" s="7" t="inlineStr">
        <is>
          <t>Cadence Design Systems, Inc.</t>
        </is>
      </c>
      <c r="D80" s="7" t="inlineStr">
        <is>
          <t>Technology</t>
        </is>
      </c>
      <c r="E80" s="7" t="inlineStr">
        <is>
          <t>Software - Application</t>
        </is>
      </c>
      <c r="F80" s="8" t="n">
        <v>80.6075311</v>
      </c>
      <c r="G80" s="5" t="inlineStr">
        <is>
          <t>USD</t>
        </is>
      </c>
      <c r="H80" s="7" t="inlineStr">
        <is>
          <t>2025-09-30 / 2025-12-31 / 2026-03-31 / 2026-06-30</t>
        </is>
      </c>
      <c r="I80" s="8" t="n">
        <v>1338.838</v>
      </c>
      <c r="J80" s="8" t="n">
        <v>1440.114</v>
      </c>
      <c r="K80" s="8" t="n">
        <v>1474.22</v>
      </c>
      <c r="L80" s="8" t="n">
        <v>1584.451</v>
      </c>
      <c r="M80" s="9" t="n">
        <v>24.2276984980097</v>
      </c>
      <c r="N80" s="8" t="n">
        <v>1643.86975</v>
      </c>
      <c r="O80" s="10" t="inlineStr">
        <is>
          <t>淨利 +$287.1M
經常 +$452.8M
一次: -$40.3M（營收 3%）</t>
        </is>
      </c>
      <c r="P80" s="10" t="inlineStr">
        <is>
          <t>淨利 +$388.1M
經常 +$465.2M
一次: +$26.3M（營收 2%）</t>
        </is>
      </c>
      <c r="Q80" s="10" t="inlineStr">
        <is>
          <t>淨利 +$335.7M
經常 +$431.3M
一次: 無重大</t>
        </is>
      </c>
      <c r="R80" s="10" t="inlineStr">
        <is>
          <t>淨利 +$367.1M
經常 +$450.0M
一次: +$60.8M（營收 4%）</t>
        </is>
      </c>
      <c r="S80" s="11" t="n">
        <v>2.01865</v>
      </c>
      <c r="T80" s="9" t="n">
        <v>28.3986693182686</v>
      </c>
      <c r="U80" s="9" t="n">
        <v>23.16739362719327</v>
      </c>
      <c r="V80" s="9" t="n">
        <v>84.89584089378593</v>
      </c>
      <c r="W80" s="10" t="inlineStr">
        <is>
          <t>+$60.8M・營收 3.8%</t>
        </is>
      </c>
      <c r="X80" s="10" t="inlineStr">
        <is>
          <t>四季皆正：+453 → +465 → +431 → +450（百萬）</t>
        </is>
      </c>
      <c r="Y80" s="10" t="inlineStr">
        <is>
          <t>四季營運皆正、最新季淨利為正 — 經常性已盈利</t>
        </is>
      </c>
      <c r="Z80" s="12" t="inlineStr">
        <is>
          <t>A</t>
        </is>
      </c>
      <c r="AA80" s="7" t="inlineStr">
        <is>
          <t>2026-06-30 / 2026-10-26</t>
        </is>
      </c>
    </row>
    <row r="81" ht="46" customHeight="1">
      <c r="A81" s="5" t="n">
        <v>80</v>
      </c>
      <c r="B81" s="6" t="inlineStr">
        <is>
          <t>SU</t>
        </is>
      </c>
      <c r="C81" s="7" t="inlineStr">
        <is>
          <t>Suncor Energy Inc.</t>
        </is>
      </c>
      <c r="D81" s="7" t="inlineStr">
        <is>
          <t>Energy</t>
        </is>
      </c>
      <c r="E81" s="7" t="inlineStr">
        <is>
          <t>Oil &amp; Gas Integrated</t>
        </is>
      </c>
      <c r="F81" s="8" t="n">
        <v>78.75116177620035</v>
      </c>
      <c r="G81" s="5" t="inlineStr">
        <is>
          <t>CAD</t>
        </is>
      </c>
      <c r="H81" s="7" t="inlineStr">
        <is>
          <t>2025-09-30 / 2025-12-31 / 2026-03-31 / 2026-06-30</t>
        </is>
      </c>
      <c r="I81" s="8" t="n">
        <v>13565</v>
      </c>
      <c r="J81" s="8" t="n">
        <v>12733</v>
      </c>
      <c r="K81" s="8" t="n">
        <v>15422</v>
      </c>
      <c r="L81" s="8" t="n">
        <v>19009</v>
      </c>
      <c r="M81" s="9" t="n">
        <v>49.10189034434074</v>
      </c>
      <c r="N81" s="8" t="n">
        <v>14835.58267</v>
      </c>
      <c r="O81" s="10" t="inlineStr">
        <is>
          <t>淨利 +C$1.62B
經常 +C$2.42B
一次: 無重大</t>
        </is>
      </c>
      <c r="P81" s="10" t="inlineStr">
        <is>
          <t>淨利 +C$1.48B
經常 +C$1.85B
一次: +C$267.0M（營收 2%）</t>
        </is>
      </c>
      <c r="Q81" s="10" t="inlineStr">
        <is>
          <t>淨利 +C$2.10B
經常 +C$2.90B
一次: 無重大</t>
        </is>
      </c>
      <c r="R81" s="10" t="inlineStr">
        <is>
          <t>淨利 +C$3.73B
經常 +C$5.25B
一次: 無重大</t>
        </is>
      </c>
      <c r="S81" s="11" t="n">
        <v>2.40263</v>
      </c>
      <c r="T81" s="9" t="n">
        <v>27.60271450365616</v>
      </c>
      <c r="U81" s="9" t="n">
        <v>19.63280551317797</v>
      </c>
      <c r="V81" s="9" t="n">
        <v>49.46604240096796</v>
      </c>
      <c r="W81" s="10" t="inlineStr">
        <is>
          <t>無重大</t>
        </is>
      </c>
      <c r="X81" s="10" t="inlineStr">
        <is>
          <t>四季皆正：+2,416 → +1,848 → +2,902 → +5,247（百萬）</t>
        </is>
      </c>
      <c r="Y81" s="10" t="inlineStr">
        <is>
          <t>四季營運皆正、最新季淨利為正 — 經常性已盈利</t>
        </is>
      </c>
      <c r="Z81" s="12" t="inlineStr">
        <is>
          <t>A</t>
        </is>
      </c>
      <c r="AA81" s="7" t="inlineStr">
        <is>
          <t>2026-06-30 / 2026-11-03</t>
        </is>
      </c>
    </row>
    <row r="82" ht="46" customHeight="1">
      <c r="A82" s="5" t="n">
        <v>81</v>
      </c>
      <c r="B82" s="6" t="inlineStr">
        <is>
          <t>EOG</t>
        </is>
      </c>
      <c r="C82" s="7" t="inlineStr">
        <is>
          <t>EOG Resources, Inc.</t>
        </is>
      </c>
      <c r="D82" s="7" t="inlineStr">
        <is>
          <t>Energy</t>
        </is>
      </c>
      <c r="E82" s="7" t="inlineStr">
        <is>
          <t>Oil &amp; Gas E&amp;P</t>
        </is>
      </c>
      <c r="F82" s="8" t="n">
        <v>76.15639106368303</v>
      </c>
      <c r="G82" s="5" t="inlineStr">
        <is>
          <t>USD</t>
        </is>
      </c>
      <c r="H82" s="7" t="inlineStr">
        <is>
          <t>2025-06-30 / 2025-09-30 / 2025-12-31 / 2026-03-31</t>
        </is>
      </c>
      <c r="I82" s="8" t="n">
        <v>5355</v>
      </c>
      <c r="J82" s="8" t="n">
        <v>5732</v>
      </c>
      <c r="K82" s="8" t="n">
        <v>5653</v>
      </c>
      <c r="L82" s="8" t="n">
        <v>6758</v>
      </c>
      <c r="M82" s="9" t="n">
        <v>15.67956179390619</v>
      </c>
      <c r="N82" s="8" t="n">
        <v>7126.28929</v>
      </c>
      <c r="O82" s="10" t="inlineStr">
        <is>
          <t>淨利 +$1.34B
經常 +$1.68B
一次: 無重大</t>
        </is>
      </c>
      <c r="P82" s="10" t="inlineStr">
        <is>
          <t>淨利 +$1.47B
經常 +$1.81B
一次: 無重大</t>
        </is>
      </c>
      <c r="Q82" s="10" t="inlineStr">
        <is>
          <t>淨利 +$701.0M
經常 +$1.67B
一次: -$557.7M（營收 10%）</t>
        </is>
      </c>
      <c r="R82" s="10" t="inlineStr">
        <is>
          <t>淨利 +$1.98B
經常 +$2.49B
一次: +$80.8M（營收 1%）</t>
        </is>
      </c>
      <c r="S82" s="11" t="n">
        <v>3.92382</v>
      </c>
      <c r="T82" s="9" t="n">
        <v>36.88961231133472</v>
      </c>
      <c r="U82" s="9" t="n">
        <v>29.29860905593371</v>
      </c>
      <c r="V82" s="9" t="n">
        <v>65.83308671204499</v>
      </c>
      <c r="W82" s="10" t="inlineStr">
        <is>
          <t>+$80.8M・營收 1.2%</t>
        </is>
      </c>
      <c r="X82" s="10" t="inlineStr">
        <is>
          <t>四季皆正：+1,679 → +1,809 → +1,667 → +2,493（百萬）</t>
        </is>
      </c>
      <c r="Y82" s="10" t="inlineStr">
        <is>
          <t>四季營運皆正、最新季淨利為正 — 經常性已盈利</t>
        </is>
      </c>
      <c r="Z82" s="12" t="inlineStr">
        <is>
          <t>A</t>
        </is>
      </c>
      <c r="AA82" s="7" t="inlineStr">
        <is>
          <t>2026-03-31 / 2026-11-05</t>
        </is>
      </c>
    </row>
    <row r="83" ht="46" customHeight="1">
      <c r="A83" s="5" t="n">
        <v>82</v>
      </c>
      <c r="B83" s="6" t="inlineStr">
        <is>
          <t>SNPS</t>
        </is>
      </c>
      <c r="C83" s="7" t="inlineStr">
        <is>
          <t>Synopsys, Inc.</t>
        </is>
      </c>
      <c r="D83" s="7" t="inlineStr">
        <is>
          <t>Technology</t>
        </is>
      </c>
      <c r="E83" s="7" t="inlineStr">
        <is>
          <t>Software - Infrastructure</t>
        </is>
      </c>
      <c r="F83" s="8" t="n">
        <v>75.47417666074678</v>
      </c>
      <c r="G83" s="5" t="inlineStr">
        <is>
          <t>USD</t>
        </is>
      </c>
      <c r="H83" s="7" t="inlineStr">
        <is>
          <t>2025-10-31 / 2026-01-31 / 2026-04-30 / 2026-07-31</t>
        </is>
      </c>
      <c r="I83" s="8" t="n">
        <v>2254.86</v>
      </c>
      <c r="J83" s="8" t="n">
        <v>2408.798</v>
      </c>
      <c r="K83" s="8" t="n">
        <v>2275.985</v>
      </c>
      <c r="L83" s="8" t="n">
        <v>2476.822</v>
      </c>
      <c r="M83" s="9" t="n">
        <v>42.36761073656537</v>
      </c>
      <c r="N83" s="8" t="n">
        <v>2649.53997</v>
      </c>
      <c r="O83" s="10" t="inlineStr">
        <is>
          <t>淨利 +$448.7M
經常 +$121.4M
一次: +$477.2M（營收 21%）</t>
        </is>
      </c>
      <c r="P83" s="10" t="inlineStr">
        <is>
          <t>淨利 +$65.0M
經常 +$321.3M
一次: -$101.6M（營收 4%）</t>
        </is>
      </c>
      <c r="Q83" s="10" t="inlineStr">
        <is>
          <t>淨利 +$17.1M
經常 +$236.3M
一次: -$102.8M（營收 5%）</t>
        </is>
      </c>
      <c r="R83" s="10" t="inlineStr">
        <is>
          <t>淨利 +$545.8M
經常 +$359.7M
一次: +$339.9M（營收 14%）</t>
        </is>
      </c>
      <c r="S83" s="11" t="n">
        <v>4.33657</v>
      </c>
      <c r="T83" s="9" t="n">
        <v>14.52082547716388</v>
      </c>
      <c r="U83" s="9" t="n">
        <v>22.03630297211507</v>
      </c>
      <c r="V83" s="9" t="n">
        <v>72.57017258406134</v>
      </c>
      <c r="W83" s="10" t="inlineStr">
        <is>
          <t>+$339.9M・營收 13.7%</t>
        </is>
      </c>
      <c r="X83" s="10" t="inlineStr">
        <is>
          <t>四季皆正：+121 → +321 → +236 → +360（百萬）</t>
        </is>
      </c>
      <c r="Y83" s="10" t="inlineStr">
        <is>
          <t>四季營運皆正、最新季淨利為正 — 經常性已盈利</t>
        </is>
      </c>
      <c r="Z83" s="12" t="inlineStr">
        <is>
          <t>A</t>
        </is>
      </c>
      <c r="AA83" s="7" t="inlineStr">
        <is>
          <t>2026-07-31 / 2026-08-26</t>
        </is>
      </c>
    </row>
    <row r="84" ht="46" customHeight="1">
      <c r="A84" s="5" t="n">
        <v>83</v>
      </c>
      <c r="B84" s="6" t="inlineStr">
        <is>
          <t>TGT</t>
        </is>
      </c>
      <c r="C84" s="7" t="inlineStr">
        <is>
          <t>Target Corporation</t>
        </is>
      </c>
      <c r="D84" s="7" t="inlineStr">
        <is>
          <t>Consumer Discretionary</t>
        </is>
      </c>
      <c r="E84" s="7" t="inlineStr">
        <is>
          <t>Discount Stores</t>
        </is>
      </c>
      <c r="F84" s="8" t="n">
        <v>74.70455526804079</v>
      </c>
      <c r="G84" s="5" t="inlineStr">
        <is>
          <t>USD</t>
        </is>
      </c>
      <c r="H84" s="7" t="inlineStr">
        <is>
          <t>2025-10-31 / 2026-01-31 / 2026-04-30 / 2026-07-31</t>
        </is>
      </c>
      <c r="I84" s="8" t="n">
        <v>25270</v>
      </c>
      <c r="J84" s="8" t="n">
        <v>30453</v>
      </c>
      <c r="K84" s="8" t="n">
        <v>25443</v>
      </c>
      <c r="L84" s="8" t="n">
        <v>26539</v>
      </c>
      <c r="M84" s="9" t="n">
        <v>5.267541945975962</v>
      </c>
      <c r="N84" s="8" t="n">
        <v>31836.1457</v>
      </c>
      <c r="O84" s="10" t="inlineStr">
        <is>
          <t>淨利 +$689.0M
經常 +$948.0M
一次: 無重大</t>
        </is>
      </c>
      <c r="P84" s="10" t="inlineStr">
        <is>
          <t>淨利 +$1.04B
經常 +$1.38B
一次: 無重大</t>
        </is>
      </c>
      <c r="Q84" s="10" t="inlineStr">
        <is>
          <t>淨利 +$781.0M
經常 +$1.14B
一次: 無重大</t>
        </is>
      </c>
      <c r="R84" s="10" t="inlineStr">
        <is>
          <t>淨利 +$1.88B
經常 +$2.56B
一次: 無重大</t>
        </is>
      </c>
      <c r="S84" s="11" t="n">
        <v>2.67243</v>
      </c>
      <c r="T84" s="9" t="n">
        <v>9.646181091977844</v>
      </c>
      <c r="U84" s="9" t="n">
        <v>7.072610120954067</v>
      </c>
      <c r="V84" s="9" t="n">
        <v>33.67120087418516</v>
      </c>
      <c r="W84" s="10" t="inlineStr">
        <is>
          <t>無重大</t>
        </is>
      </c>
      <c r="X84" s="10" t="inlineStr">
        <is>
          <t>四季皆正：+948 → +1,380 → +1,135 → +2,560（百萬）</t>
        </is>
      </c>
      <c r="Y84" s="10" t="inlineStr">
        <is>
          <t>四季營運皆正、最新季淨利為正 — 經常性已盈利</t>
        </is>
      </c>
      <c r="Z84" s="12" t="inlineStr">
        <is>
          <t>A</t>
        </is>
      </c>
      <c r="AA84" s="7" t="inlineStr">
        <is>
          <t>2026-07-31 / 2026-11-18</t>
        </is>
      </c>
    </row>
    <row r="85" ht="46" customHeight="1">
      <c r="A85" s="5" t="n">
        <v>84</v>
      </c>
      <c r="B85" s="6" t="inlineStr">
        <is>
          <t>CNI</t>
        </is>
      </c>
      <c r="C85" s="7" t="inlineStr">
        <is>
          <t>Canadian National Railway Company</t>
        </is>
      </c>
      <c r="D85" s="7" t="inlineStr">
        <is>
          <t>Industrials</t>
        </is>
      </c>
      <c r="E85" s="7" t="inlineStr">
        <is>
          <t>Railroads</t>
        </is>
      </c>
      <c r="F85" s="8" t="n">
        <v>74.527817</v>
      </c>
      <c r="G85" s="5" t="inlineStr">
        <is>
          <t>CAD</t>
        </is>
      </c>
      <c r="H85" s="7" t="inlineStr">
        <is>
          <t>2025-09-30 / 2025-12-31 / 2026-03-31 / 2026-06-30</t>
        </is>
      </c>
      <c r="I85" s="8" t="n">
        <v>4165</v>
      </c>
      <c r="J85" s="8" t="n">
        <v>4464</v>
      </c>
      <c r="K85" s="8" t="n">
        <v>4379</v>
      </c>
      <c r="L85" s="8" t="n">
        <v>4753</v>
      </c>
      <c r="M85" s="9" t="n">
        <v>11.25936329588015</v>
      </c>
      <c r="N85" s="8" t="n">
        <v>4773.79483</v>
      </c>
      <c r="O85" s="10" t="inlineStr">
        <is>
          <t>淨利 +C$1.14B
經常 +C$1.61B
一次: 無重大</t>
        </is>
      </c>
      <c r="P85" s="10" t="inlineStr">
        <is>
          <t>淨利 +C$1.25B
經常 +C$1.73B
一次: +C$59.8M（營收 1%）</t>
        </is>
      </c>
      <c r="Q85" s="10" t="inlineStr">
        <is>
          <t>淨利 +C$1.15B
經常 +C$1.55B
一次: 無重大</t>
        </is>
      </c>
      <c r="R85" s="10" t="inlineStr">
        <is>
          <t>淨利 +C$1.25B
經常 +C$1.78B
一次: 無重大</t>
        </is>
      </c>
      <c r="S85" s="11" t="n">
        <v>2.1781</v>
      </c>
      <c r="T85" s="9" t="n">
        <v>37.47107090258784</v>
      </c>
      <c r="U85" s="9" t="n">
        <v>26.27814012202819</v>
      </c>
      <c r="V85" s="9" t="n">
        <v>41.48958552493162</v>
      </c>
      <c r="W85" s="10" t="inlineStr">
        <is>
          <t>無重大</t>
        </is>
      </c>
      <c r="X85" s="10" t="inlineStr">
        <is>
          <t>四季皆正：+1,606 → +1,733 → +1,549 → +1,781（百萬）</t>
        </is>
      </c>
      <c r="Y85" s="10" t="inlineStr">
        <is>
          <t>四季營運皆正、最新季淨利為正 — 經常性已盈利</t>
        </is>
      </c>
      <c r="Z85" s="12" t="inlineStr">
        <is>
          <t>A</t>
        </is>
      </c>
      <c r="AA85" s="7" t="inlineStr">
        <is>
          <t>2026-06-30 / 2026-10-30</t>
        </is>
      </c>
    </row>
    <row r="86" ht="46" customHeight="1">
      <c r="A86" s="5" t="n">
        <v>85</v>
      </c>
      <c r="B86" s="6" t="inlineStr">
        <is>
          <t>BE</t>
        </is>
      </c>
      <c r="C86" s="7" t="inlineStr">
        <is>
          <t>Bloom Energy Corporation</t>
        </is>
      </c>
      <c r="D86" s="7" t="inlineStr">
        <is>
          <t>Energy</t>
        </is>
      </c>
      <c r="E86" s="7" t="inlineStr">
        <is>
          <t>Electrical Equipment &amp; Parts</t>
        </is>
      </c>
      <c r="F86" s="8" t="n">
        <v>74.47712998334949</v>
      </c>
      <c r="G86" s="5" t="inlineStr">
        <is>
          <t>USD</t>
        </is>
      </c>
      <c r="H86" s="7" t="inlineStr">
        <is>
          <t>2025-09-30 / 2025-12-31 / 2026-03-31 / 2026-06-30</t>
        </is>
      </c>
      <c r="I86" s="8" t="n">
        <v>519.048</v>
      </c>
      <c r="J86" s="8" t="n">
        <v>777.683</v>
      </c>
      <c r="K86" s="8" t="n">
        <v>751.054</v>
      </c>
      <c r="L86" s="8" t="n">
        <v>1065.365</v>
      </c>
      <c r="M86" s="9" t="n">
        <v>165.5168202730521</v>
      </c>
      <c r="N86" s="8" t="n">
        <v>1214.95993</v>
      </c>
      <c r="O86" s="10" t="inlineStr">
        <is>
          <t>淨利 -$23.1M
經常 +$7.8M
一次: 無重大</t>
        </is>
      </c>
      <c r="P86" s="10" t="inlineStr">
        <is>
          <t>淨利 +$1.1M
經常 +$87.5M
一次: -$39.8M（營收 5%）</t>
        </is>
      </c>
      <c r="Q86" s="10" t="inlineStr">
        <is>
          <t>淨利 +$70.7M
經常 +$72.2M
一次: 無重大</t>
        </is>
      </c>
      <c r="R86" s="10" t="inlineStr">
        <is>
          <t>淨利 +$196.3M
經常 +$182.2M
一次: 無重大</t>
        </is>
      </c>
      <c r="S86" s="11" t="n">
        <v>0.8349</v>
      </c>
      <c r="T86" s="9" t="n">
        <v>17.10559291885879</v>
      </c>
      <c r="U86" s="9" t="n">
        <v>18.42467135676505</v>
      </c>
      <c r="V86" s="9" t="n">
        <v>33.37560366634909</v>
      </c>
      <c r="W86" s="10" t="inlineStr">
        <is>
          <t>無重大</t>
        </is>
      </c>
      <c r="X86" s="10" t="inlineStr">
        <is>
          <t>四季皆正：+8 → +88 → +72 → +182（百萬）</t>
        </is>
      </c>
      <c r="Y86" s="10" t="inlineStr">
        <is>
          <t>四季營運皆正、最新季淨利為正 — 經常性已盈利</t>
        </is>
      </c>
      <c r="Z86" s="12" t="inlineStr">
        <is>
          <t>A</t>
        </is>
      </c>
      <c r="AA86" s="7" t="inlineStr">
        <is>
          <t>2026-06-30 / 2026-10-27</t>
        </is>
      </c>
    </row>
    <row r="87" ht="46" customHeight="1">
      <c r="A87" s="5" t="n">
        <v>86</v>
      </c>
      <c r="B87" s="6" t="inlineStr">
        <is>
          <t>NSC</t>
        </is>
      </c>
      <c r="C87" s="7" t="inlineStr">
        <is>
          <t>Norfolk Southern Corporation</t>
        </is>
      </c>
      <c r="D87" s="7" t="inlineStr">
        <is>
          <t>Industrials</t>
        </is>
      </c>
      <c r="E87" s="7" t="inlineStr">
        <is>
          <t>Railroads</t>
        </is>
      </c>
      <c r="F87" s="8" t="n">
        <v>73.99947456899874</v>
      </c>
      <c r="G87" s="5" t="inlineStr">
        <is>
          <t>USD</t>
        </is>
      </c>
      <c r="H87" s="7" t="inlineStr">
        <is>
          <t>2025-09-30 / 2025-12-31 / 2026-03-31 / 2026-06-30</t>
        </is>
      </c>
      <c r="I87" s="8" t="n">
        <v>3103</v>
      </c>
      <c r="J87" s="8" t="n">
        <v>2974</v>
      </c>
      <c r="K87" s="8" t="n">
        <v>2998</v>
      </c>
      <c r="L87" s="8" t="n">
        <v>3465</v>
      </c>
      <c r="M87" s="9" t="n">
        <v>11.41479099678457</v>
      </c>
      <c r="N87" s="8" t="n">
        <v>3339.44946</v>
      </c>
      <c r="O87" s="10" t="inlineStr">
        <is>
          <t>淨利 +$711.0M
經常 +$1.19B
一次: -$70.0M（營收 2%）</t>
        </is>
      </c>
      <c r="P87" s="10" t="inlineStr">
        <is>
          <t>淨利 +$643.0M
經常 +$1.16B
一次: -$96.8M（營收 3%）</t>
        </is>
      </c>
      <c r="Q87" s="10" t="inlineStr">
        <is>
          <t>淨利 +$546.0M
經常 +$992.0M
一次: -$88.0M（營收 3%）</t>
        </is>
      </c>
      <c r="R87" s="10" t="inlineStr">
        <is>
          <t>淨利 +$733.0M
經常 +$1.27B
一次: -$108.6M（營收 3%）</t>
        </is>
      </c>
      <c r="S87" s="11" t="n">
        <v>3.22363</v>
      </c>
      <c r="T87" s="9" t="n">
        <v>36.53679653679654</v>
      </c>
      <c r="U87" s="9" t="n">
        <v>21.15440115440115</v>
      </c>
      <c r="V87" s="9" t="n">
        <v>37.37373737373738</v>
      </c>
      <c r="W87" s="10" t="inlineStr">
        <is>
          <t>-$108.6M・營收 3.1%</t>
        </is>
      </c>
      <c r="X87" s="10" t="inlineStr">
        <is>
          <t>四季皆正：+1,189 → +1,158 → +992 → +1,266（百萬）</t>
        </is>
      </c>
      <c r="Y87" s="10" t="inlineStr">
        <is>
          <t>四季營運皆正、最新季淨利為正 — 經常性已盈利</t>
        </is>
      </c>
      <c r="Z87" s="12" t="inlineStr">
        <is>
          <t>A</t>
        </is>
      </c>
      <c r="AA87" s="7" t="inlineStr">
        <is>
          <t>2026-06-30 / 2026-10-22</t>
        </is>
      </c>
    </row>
    <row r="88" ht="46" customHeight="1">
      <c r="A88" s="5" t="n">
        <v>87</v>
      </c>
      <c r="B88" s="6" t="inlineStr">
        <is>
          <t>ROST</t>
        </is>
      </c>
      <c r="C88" s="7" t="inlineStr">
        <is>
          <t>Ross Stores, Inc.</t>
        </is>
      </c>
      <c r="D88" s="7" t="inlineStr">
        <is>
          <t>Consumer Discretionary</t>
        </is>
      </c>
      <c r="E88" s="7" t="inlineStr">
        <is>
          <t>Apparel Retail</t>
        </is>
      </c>
      <c r="F88" s="8" t="n">
        <v>73.69463794550421</v>
      </c>
      <c r="G88" s="5" t="inlineStr">
        <is>
          <t>USD</t>
        </is>
      </c>
      <c r="H88" s="7" t="inlineStr">
        <is>
          <t>2025-10-31 / 2026-01-31 / 2026-04-30 / 2026-07-31</t>
        </is>
      </c>
      <c r="I88" s="8" t="n">
        <v>5600.946</v>
      </c>
      <c r="J88" s="8" t="n">
        <v>6635.49</v>
      </c>
      <c r="K88" s="8" t="n">
        <v>6010.476</v>
      </c>
      <c r="L88" s="8" t="n">
        <v>6264.886</v>
      </c>
      <c r="M88" s="9" t="n">
        <v>13.3064527797391</v>
      </c>
      <c r="N88" s="8" t="n">
        <v>7213.99517</v>
      </c>
      <c r="O88" s="10" t="inlineStr">
        <is>
          <t>淨利 +$511.9M
經常 +$648.5M
一次: 無重大</t>
        </is>
      </c>
      <c r="P88" s="10" t="inlineStr">
        <is>
          <t>淨利 +$645.9M
經常 +$814.1M
一次: 無重大</t>
        </is>
      </c>
      <c r="Q88" s="10" t="inlineStr">
        <is>
          <t>淨利 +$650.0M
經常 +$804.0M
一次: 無重大</t>
        </is>
      </c>
      <c r="R88" s="10" t="inlineStr">
        <is>
          <t>淨利 +$851.3M
經常 +$1.10B
一次: 無重大</t>
        </is>
      </c>
      <c r="S88" s="11" t="n">
        <v>2.25235</v>
      </c>
      <c r="T88" s="9" t="n">
        <v>17.61593107999092</v>
      </c>
      <c r="U88" s="9" t="n">
        <v>13.58841964562484</v>
      </c>
      <c r="V88" s="9" t="n">
        <v>33.83415117210433</v>
      </c>
      <c r="W88" s="10" t="inlineStr">
        <is>
          <t>無重大</t>
        </is>
      </c>
      <c r="X88" s="10" t="inlineStr">
        <is>
          <t>四季皆正：+648 → +814 → +804 → +1,104（百萬）</t>
        </is>
      </c>
      <c r="Y88" s="10" t="inlineStr">
        <is>
          <t>四季營運皆正、最新季淨利為正 — 經常性已盈利</t>
        </is>
      </c>
      <c r="Z88" s="12" t="inlineStr">
        <is>
          <t>A</t>
        </is>
      </c>
      <c r="AA88" s="7" t="inlineStr">
        <is>
          <t>2026-07-31 / 2026-11-19</t>
        </is>
      </c>
    </row>
    <row r="89" ht="46" customHeight="1">
      <c r="A89" s="5" t="n">
        <v>88</v>
      </c>
      <c r="B89" s="6" t="inlineStr">
        <is>
          <t>HLT</t>
        </is>
      </c>
      <c r="C89" s="7" t="inlineStr">
        <is>
          <t>Hilton Worldwide Holdings Inc.</t>
        </is>
      </c>
      <c r="D89" s="7" t="inlineStr">
        <is>
          <t>Consumer Discretionary</t>
        </is>
      </c>
      <c r="E89" s="7" t="inlineStr">
        <is>
          <t>Lodging</t>
        </is>
      </c>
      <c r="F89" s="8" t="n">
        <v>70.0356986942454</v>
      </c>
      <c r="G89" s="5" t="inlineStr">
        <is>
          <t>USD</t>
        </is>
      </c>
      <c r="H89" s="7" t="inlineStr">
        <is>
          <t>2025-09-30 / 2025-12-31 / 2026-03-31 / 2026-06-30</t>
        </is>
      </c>
      <c r="I89" s="8" t="n">
        <v>3120</v>
      </c>
      <c r="J89" s="8" t="n">
        <v>3087</v>
      </c>
      <c r="K89" s="8" t="n">
        <v>2937</v>
      </c>
      <c r="L89" s="8" t="n">
        <v>3341</v>
      </c>
      <c r="M89" s="9" t="n">
        <v>6.503028371055142</v>
      </c>
      <c r="N89" s="8" t="n">
        <v>3379.39509</v>
      </c>
      <c r="O89" s="10" t="inlineStr">
        <is>
          <t>淨利 +$420.0M
經常 +$777.0M
一次: 無重大</t>
        </is>
      </c>
      <c r="P89" s="10" t="inlineStr">
        <is>
          <t>淨利 +$297.0M
經常 +$602.0M
一次: 無重大</t>
        </is>
      </c>
      <c r="Q89" s="10" t="inlineStr">
        <is>
          <t>淨利 +$385.0M
經常 +$678.0M
一次: 無重大</t>
        </is>
      </c>
      <c r="R89" s="10" t="inlineStr">
        <is>
          <t>淨利 +$482.0M
經常 +$858.0M
一次: 無重大</t>
        </is>
      </c>
      <c r="S89" s="11" t="n">
        <v>2.38211</v>
      </c>
      <c r="T89" s="9" t="n">
        <v>25.68093385214008</v>
      </c>
      <c r="U89" s="9" t="n">
        <v>14.4268183178689</v>
      </c>
      <c r="V89" s="9" t="n">
        <v>31.93654594432804</v>
      </c>
      <c r="W89" s="10" t="inlineStr">
        <is>
          <t>無重大</t>
        </is>
      </c>
      <c r="X89" s="10" t="inlineStr">
        <is>
          <t>四季皆正：+777 → +602 → +678 → +858（百萬）</t>
        </is>
      </c>
      <c r="Y89" s="10" t="inlineStr">
        <is>
          <t>四季營運皆正、最新季淨利為正 — 經常性已盈利</t>
        </is>
      </c>
      <c r="Z89" s="12" t="inlineStr">
        <is>
          <t>A</t>
        </is>
      </c>
      <c r="AA89" s="7" t="inlineStr">
        <is>
          <t>2026-06-30 / 2026-10-28</t>
        </is>
      </c>
    </row>
    <row r="90" ht="46" customHeight="1">
      <c r="A90" s="5" t="n">
        <v>89</v>
      </c>
      <c r="B90" s="6" t="inlineStr">
        <is>
          <t>HPE</t>
        </is>
      </c>
      <c r="C90" s="7" t="inlineStr">
        <is>
          <t>Hewlett Packard Enterprise Company</t>
        </is>
      </c>
      <c r="D90" s="7" t="inlineStr">
        <is>
          <t>Technology</t>
        </is>
      </c>
      <c r="E90" s="7" t="inlineStr">
        <is>
          <t>Communication Equipment</t>
        </is>
      </c>
      <c r="F90" s="8" t="n">
        <v>68.85858309187674</v>
      </c>
      <c r="G90" s="5" t="inlineStr">
        <is>
          <t>USD</t>
        </is>
      </c>
      <c r="H90" s="7" t="inlineStr">
        <is>
          <t>2025-07-31 / 2025-10-31 / 2026-01-31 / 2026-04-30</t>
        </is>
      </c>
      <c r="I90" s="8" t="n">
        <v>9136</v>
      </c>
      <c r="J90" s="8" t="n">
        <v>9679</v>
      </c>
      <c r="K90" s="8" t="n">
        <v>9301</v>
      </c>
      <c r="L90" s="8" t="n">
        <v>10678</v>
      </c>
      <c r="M90" s="9" t="n">
        <v>40.00262226301299</v>
      </c>
      <c r="N90" s="8" t="n">
        <v>12551.90074</v>
      </c>
      <c r="O90" s="10" t="inlineStr">
        <is>
          <t>淨利 +$276.0M
經常 +$428.0M
一次: -$142.2M（營收 2%）</t>
        </is>
      </c>
      <c r="P90" s="10" t="inlineStr">
        <is>
          <t>淨利 +$146.0M
經常 +$408.0M
一次: -$326.3M（營收 3%）</t>
        </is>
      </c>
      <c r="Q90" s="10" t="inlineStr">
        <is>
          <t>淨利 +$423.0M
經常 +$587.0M
一次: 無重大</t>
        </is>
      </c>
      <c r="R90" s="10" t="inlineStr">
        <is>
          <t>淨利 +$595.0M
經常 +$825.0M
一次: 無重大</t>
        </is>
      </c>
      <c r="S90" s="11" t="n">
        <v>1.01547</v>
      </c>
      <c r="T90" s="9" t="n">
        <v>7.726165948679528</v>
      </c>
      <c r="U90" s="9" t="n">
        <v>5.572204532684023</v>
      </c>
      <c r="V90" s="9" t="n">
        <v>36.52369357557595</v>
      </c>
      <c r="W90" s="10" t="inlineStr">
        <is>
          <t>無重大</t>
        </is>
      </c>
      <c r="X90" s="10" t="inlineStr">
        <is>
          <t>四季皆正：+428 → +408 → +587 → +825（百萬）</t>
        </is>
      </c>
      <c r="Y90" s="10" t="inlineStr">
        <is>
          <t>四季營運皆正、最新季淨利為正 — 經常性已盈利</t>
        </is>
      </c>
      <c r="Z90" s="12" t="inlineStr">
        <is>
          <t>A</t>
        </is>
      </c>
      <c r="AA90" s="7" t="inlineStr">
        <is>
          <t>2026-04-30 / 2026-09-02</t>
        </is>
      </c>
    </row>
    <row r="91" ht="46" customHeight="1">
      <c r="A91" s="5" t="n">
        <v>90</v>
      </c>
      <c r="B91" s="6" t="inlineStr">
        <is>
          <t>PCAR</t>
        </is>
      </c>
      <c r="C91" s="7" t="inlineStr">
        <is>
          <t>PACCAR Inc</t>
        </is>
      </c>
      <c r="D91" s="7" t="inlineStr">
        <is>
          <t>Industrials</t>
        </is>
      </c>
      <c r="E91" s="7" t="inlineStr">
        <is>
          <t>Farm &amp; Heavy Construction Machinery</t>
        </is>
      </c>
      <c r="F91" s="8" t="n">
        <v>65.63770963915938</v>
      </c>
      <c r="G91" s="5" t="inlineStr">
        <is>
          <t>USD</t>
        </is>
      </c>
      <c r="H91" s="7" t="inlineStr">
        <is>
          <t>2025-09-30 / 2025-12-31 / 2026-03-31 / 2026-06-30</t>
        </is>
      </c>
      <c r="I91" s="8" t="n">
        <v>6671.8</v>
      </c>
      <c r="J91" s="8" t="n">
        <v>6820.8</v>
      </c>
      <c r="K91" s="8" t="n">
        <v>6776.5</v>
      </c>
      <c r="L91" s="8" t="n">
        <v>7546.7</v>
      </c>
      <c r="M91" s="9" t="n">
        <v>0.4819918780374133</v>
      </c>
      <c r="N91" s="8" t="n">
        <v>7841.34469</v>
      </c>
      <c r="O91" s="10" t="inlineStr">
        <is>
          <t>淨利 +$590.0M
經常 +$636.0M
一次: +$72.0M（營收 1%）</t>
        </is>
      </c>
      <c r="P91" s="10" t="inlineStr">
        <is>
          <t>淨利 +$556.9M
經常 +$602.1M
一次: +$69.2M（營收 1%）</t>
        </is>
      </c>
      <c r="Q91" s="10" t="inlineStr">
        <is>
          <t>淨利 +$605.3M
經常 +$674.6M
一次: 無重大</t>
        </is>
      </c>
      <c r="R91" s="10" t="inlineStr">
        <is>
          <t>淨利 +$752.0M
經常 +$879.2M
一次: 無重大</t>
        </is>
      </c>
      <c r="S91" s="11" t="n">
        <v>1.74593</v>
      </c>
      <c r="T91" s="9" t="n">
        <v>11.65012522029496</v>
      </c>
      <c r="U91" s="9" t="n">
        <v>9.964620297613527</v>
      </c>
      <c r="V91" s="9" t="n">
        <v>17.54541720222084</v>
      </c>
      <c r="W91" s="10" t="inlineStr">
        <is>
          <t>無重大</t>
        </is>
      </c>
      <c r="X91" s="10" t="inlineStr">
        <is>
          <t>四季皆正：+636 → +602 → +675 → +879（百萬）</t>
        </is>
      </c>
      <c r="Y91" s="10" t="inlineStr">
        <is>
          <t>四季營運皆正、最新季淨利為正 — 經常性已盈利</t>
        </is>
      </c>
      <c r="Z91" s="12" t="inlineStr">
        <is>
          <t>A</t>
        </is>
      </c>
      <c r="AA91" s="7" t="inlineStr">
        <is>
          <t>2026-06-30 / 2026-10-27</t>
        </is>
      </c>
    </row>
    <row r="92" ht="46" customHeight="1">
      <c r="A92" s="5" t="n">
        <v>91</v>
      </c>
      <c r="B92" s="6" t="inlineStr">
        <is>
          <t>GWW</t>
        </is>
      </c>
      <c r="C92" s="7" t="inlineStr">
        <is>
          <t>W.W. Grainger, Inc.</t>
        </is>
      </c>
      <c r="D92" s="7" t="inlineStr">
        <is>
          <t>Industrials</t>
        </is>
      </c>
      <c r="E92" s="7" t="inlineStr">
        <is>
          <t>Industrial Distribution</t>
        </is>
      </c>
      <c r="F92" s="8" t="n">
        <v>62.38472666928015</v>
      </c>
      <c r="G92" s="5" t="inlineStr">
        <is>
          <t>USD</t>
        </is>
      </c>
      <c r="H92" s="7" t="inlineStr">
        <is>
          <t>2025-09-30 / 2025-12-31 / 2026-03-31 / 2026-06-30</t>
        </is>
      </c>
      <c r="I92" s="8" t="n">
        <v>4657</v>
      </c>
      <c r="J92" s="8" t="n">
        <v>4425</v>
      </c>
      <c r="K92" s="8" t="n">
        <v>4742</v>
      </c>
      <c r="L92" s="8" t="n">
        <v>5021</v>
      </c>
      <c r="M92" s="9" t="n">
        <v>10.25472112428634</v>
      </c>
      <c r="N92" s="8" t="n">
        <v>4820.26275</v>
      </c>
      <c r="O92" s="10" t="inlineStr">
        <is>
          <t>淨利 +$294.0M
經常 +$511.0M
一次: 無重大</t>
        </is>
      </c>
      <c r="P92" s="10" t="inlineStr">
        <is>
          <t>淨利 +$451.0M
經常 +$634.0M
一次: 無重大</t>
        </is>
      </c>
      <c r="Q92" s="10" t="inlineStr">
        <is>
          <t>淨利 +$555.0M
經常 +$793.0M
一次: 無重大</t>
        </is>
      </c>
      <c r="R92" s="10" t="inlineStr">
        <is>
          <t>淨利 +$570.0M
經常 +$807.0M
一次: 無重大</t>
        </is>
      </c>
      <c r="S92" s="11" t="n">
        <v>11.15958</v>
      </c>
      <c r="T92" s="9" t="n">
        <v>16.07249551882095</v>
      </c>
      <c r="U92" s="9" t="n">
        <v>11.3523202549293</v>
      </c>
      <c r="V92" s="9" t="n">
        <v>39.51404102768372</v>
      </c>
      <c r="W92" s="10" t="inlineStr">
        <is>
          <t>無重大</t>
        </is>
      </c>
      <c r="X92" s="10" t="inlineStr">
        <is>
          <t>四季皆正：+511 → +634 → +793 → +807（百萬）</t>
        </is>
      </c>
      <c r="Y92" s="10" t="inlineStr">
        <is>
          <t>四季營運皆正、最新季淨利為正 — 經常性已盈利</t>
        </is>
      </c>
      <c r="Z92" s="12" t="inlineStr">
        <is>
          <t>A</t>
        </is>
      </c>
      <c r="AA92" s="7" t="inlineStr">
        <is>
          <t>2026-06-30 / 2026-11-04</t>
        </is>
      </c>
    </row>
    <row r="93" ht="46" customHeight="1">
      <c r="A93" s="5" t="n">
        <v>92</v>
      </c>
      <c r="B93" s="6" t="inlineStr">
        <is>
          <t>IMO</t>
        </is>
      </c>
      <c r="C93" s="7" t="inlineStr">
        <is>
          <t>Imperial Oil Limited</t>
        </is>
      </c>
      <c r="D93" s="7" t="inlineStr">
        <is>
          <t>Energy</t>
        </is>
      </c>
      <c r="E93" s="7" t="inlineStr">
        <is>
          <t>Oil &amp; Gas Integrated</t>
        </is>
      </c>
      <c r="F93" s="8" t="n">
        <v>62.19973165999999</v>
      </c>
      <c r="G93" s="5" t="inlineStr">
        <is>
          <t>CAD</t>
        </is>
      </c>
      <c r="H93" s="7" t="inlineStr">
        <is>
          <t>2025-09-30 / 2025-12-31 / 2026-03-31 / 2026-06-30</t>
        </is>
      </c>
      <c r="I93" s="8" t="n">
        <v>11614</v>
      </c>
      <c r="J93" s="8" t="n">
        <v>10879</v>
      </c>
      <c r="K93" s="8" t="n">
        <v>12068</v>
      </c>
      <c r="L93" s="8" t="n">
        <v>15911</v>
      </c>
      <c r="M93" s="9" t="n">
        <v>46.83462532299743</v>
      </c>
      <c r="N93" s="8" t="n">
        <v>19849.977</v>
      </c>
      <c r="O93" s="10" t="inlineStr">
        <is>
          <t>淨利 +C$539.0M
經常 +C$654.0M
一次: 無重大</t>
        </is>
      </c>
      <c r="P93" s="10" t="inlineStr">
        <is>
          <t>淨利 +C$492.0M
經常 +C$603.0M
一次: 無重大</t>
        </is>
      </c>
      <c r="Q93" s="10" t="inlineStr">
        <is>
          <t>淨利 +C$940.0M
經常 +C$1.21B
一次: 無重大</t>
        </is>
      </c>
      <c r="R93" s="10" t="inlineStr">
        <is>
          <t>淨利 +C$2.19B
經常 +C$2.79B
一次: 無重大</t>
        </is>
      </c>
      <c r="S93" s="11" t="n">
        <v>4.19852</v>
      </c>
      <c r="T93" s="9" t="n">
        <v>17.55389353277607</v>
      </c>
      <c r="U93" s="9" t="n">
        <v>13.7640625982025</v>
      </c>
      <c r="V93" s="9" t="n">
        <v>18.47778266608007</v>
      </c>
      <c r="W93" s="10" t="inlineStr">
        <is>
          <t>無重大</t>
        </is>
      </c>
      <c r="X93" s="10" t="inlineStr">
        <is>
          <t>四季皆正：+654 → +603 → +1,213 → +2,793（百萬）</t>
        </is>
      </c>
      <c r="Y93" s="10" t="inlineStr">
        <is>
          <t>四季營運皆正、最新季淨利為正 — 經常性已盈利</t>
        </is>
      </c>
      <c r="Z93" s="12" t="inlineStr">
        <is>
          <t>A</t>
        </is>
      </c>
      <c r="AA93" s="7" t="inlineStr">
        <is>
          <t>2026-06-30 / 2026-10-30</t>
        </is>
      </c>
    </row>
    <row r="94" ht="46" customHeight="1">
      <c r="A94" s="5" t="n">
        <v>93</v>
      </c>
      <c r="B94" s="6" t="inlineStr">
        <is>
          <t>TRGP</t>
        </is>
      </c>
      <c r="C94" s="7" t="inlineStr">
        <is>
          <t>Targa Resources Corp.</t>
        </is>
      </c>
      <c r="D94" s="7" t="inlineStr">
        <is>
          <t>Utilities</t>
        </is>
      </c>
      <c r="E94" s="7" t="inlineStr">
        <is>
          <t>Oil &amp; Gas Midstream</t>
        </is>
      </c>
      <c r="F94" s="8" t="n">
        <v>62.19571764085092</v>
      </c>
      <c r="G94" s="5" t="inlineStr">
        <is>
          <t>USD</t>
        </is>
      </c>
      <c r="H94" s="7" t="inlineStr">
        <is>
          <t>2025-09-30 / 2025-12-31 / 2026-03-31 / 2026-06-30</t>
        </is>
      </c>
      <c r="I94" s="8" t="n">
        <v>4151.2</v>
      </c>
      <c r="J94" s="8" t="n">
        <v>4055.5</v>
      </c>
      <c r="K94" s="8" t="n">
        <v>4094.7</v>
      </c>
      <c r="L94" s="8" t="n">
        <v>4440.1</v>
      </c>
      <c r="M94" s="9" t="n">
        <v>4.225252928335022</v>
      </c>
      <c r="N94" s="8" t="n">
        <v>5196.23894</v>
      </c>
      <c r="O94" s="10" t="inlineStr">
        <is>
          <t>淨利 +$475.5M
經常 +$836.9M
一次: 無重大</t>
        </is>
      </c>
      <c r="P94" s="10" t="inlineStr">
        <is>
          <t>淨利 +$542.0M
經常 +$917.4M
一次: 無重大</t>
        </is>
      </c>
      <c r="Q94" s="10" t="inlineStr">
        <is>
          <t>淨利 +$479.6M
經常 +$846.9M
一次: 無重大</t>
        </is>
      </c>
      <c r="R94" s="10" t="inlineStr">
        <is>
          <t>淨利 +$764.6M
經常 +$1.23B
一次: 無重大</t>
        </is>
      </c>
      <c r="S94" s="11" t="n">
        <v>2.95459</v>
      </c>
      <c r="T94" s="9" t="n">
        <v>27.80342785072408</v>
      </c>
      <c r="U94" s="9" t="n">
        <v>17.22033287538569</v>
      </c>
      <c r="V94" s="9" t="n">
        <v>37.9495957298259</v>
      </c>
      <c r="W94" s="10" t="inlineStr">
        <is>
          <t>無重大</t>
        </is>
      </c>
      <c r="X94" s="10" t="inlineStr">
        <is>
          <t>四季皆正：+837 → +917 → +847 → +1,234（百萬）</t>
        </is>
      </c>
      <c r="Y94" s="10" t="inlineStr">
        <is>
          <t>四季營運皆正、最新季淨利為正 — 經常性已盈利</t>
        </is>
      </c>
      <c r="Z94" s="12" t="inlineStr">
        <is>
          <t>A</t>
        </is>
      </c>
      <c r="AA94" s="7" t="inlineStr">
        <is>
          <t>2026-06-30 / 2026-11-05</t>
        </is>
      </c>
    </row>
    <row r="95" ht="46" customHeight="1">
      <c r="A95" s="5" t="n">
        <v>94</v>
      </c>
      <c r="B95" s="6" t="inlineStr">
        <is>
          <t>MET</t>
        </is>
      </c>
      <c r="C95" s="7" t="inlineStr">
        <is>
          <t>MetLife, Inc.</t>
        </is>
      </c>
      <c r="D95" s="7" t="inlineStr">
        <is>
          <t>Finance</t>
        </is>
      </c>
      <c r="E95" s="7" t="inlineStr">
        <is>
          <t>Insurance - Life</t>
        </is>
      </c>
      <c r="F95" s="8" t="n">
        <v>62.03525761422745</v>
      </c>
      <c r="G95" s="5" t="inlineStr">
        <is>
          <t>USD</t>
        </is>
      </c>
      <c r="H95" s="7" t="inlineStr">
        <is>
          <t>2025-09-30 / 2025-12-31 / 2026-03-31 / 2026-06-30</t>
        </is>
      </c>
      <c r="I95" s="8" t="n">
        <v>16881</v>
      </c>
      <c r="J95" s="8" t="n">
        <v>23291</v>
      </c>
      <c r="K95" s="8" t="n">
        <v>18616</v>
      </c>
      <c r="L95" s="8" t="n">
        <v>18877</v>
      </c>
      <c r="M95" s="9" t="n">
        <v>9.903353516534708</v>
      </c>
      <c r="N95" s="8" t="n">
        <v>20551.8</v>
      </c>
      <c r="O95" s="10" t="inlineStr">
        <is>
          <t>淨利 +$818.0M
經常* +$1.21B
一次: 無重大</t>
        </is>
      </c>
      <c r="P95" s="10" t="inlineStr">
        <is>
          <t>淨利 +$778.0M
經常* +$1.12B
一次: 無重大</t>
        </is>
      </c>
      <c r="Q95" s="10" t="inlineStr">
        <is>
          <t>淨利 +$1.14B
經常* +$1.51B
一次: 無重大</t>
        </is>
      </c>
      <c r="R95" s="10" t="inlineStr">
        <is>
          <t>淨利 +$705.0M
經常* +$1.03B
一次: 無重大</t>
        </is>
      </c>
      <c r="S95" s="11" t="n">
        <v>2.60207</v>
      </c>
      <c r="T95" s="9" t="n">
        <v>5.482862743020607</v>
      </c>
      <c r="U95" s="9" t="n">
        <v>3.734703607564761</v>
      </c>
      <c r="V95" s="9" t="n"/>
      <c r="W95" s="10" t="inlineStr">
        <is>
          <t>無重大</t>
        </is>
      </c>
      <c r="X95" s="10" t="inlineStr">
        <is>
          <t>四季皆正：+1,210 → +1,117 → +1,507 → +1,035（百萬）</t>
        </is>
      </c>
      <c r="Y95" s="10" t="inlineStr">
        <is>
          <t>四季營運皆正、最新季淨利為正 — 經常性已盈利</t>
        </is>
      </c>
      <c r="Z95" s="12" t="inlineStr">
        <is>
          <t>A</t>
        </is>
      </c>
      <c r="AA95" s="7" t="inlineStr">
        <is>
          <t>2026-06-30 / 2026-11-09</t>
        </is>
      </c>
    </row>
    <row r="96" ht="46" customHeight="1">
      <c r="A96" s="5" t="n">
        <v>95</v>
      </c>
      <c r="B96" s="6" t="inlineStr">
        <is>
          <t>CVE</t>
        </is>
      </c>
      <c r="C96" s="7" t="inlineStr">
        <is>
          <t>Cenovus Energy Inc.</t>
        </is>
      </c>
      <c r="D96" s="7" t="inlineStr">
        <is>
          <t>Energy</t>
        </is>
      </c>
      <c r="E96" s="7" t="inlineStr">
        <is>
          <t>Oil &amp; Gas Integrated</t>
        </is>
      </c>
      <c r="F96" s="8" t="n">
        <v>60.69375</v>
      </c>
      <c r="G96" s="5" t="inlineStr">
        <is>
          <t>CAD</t>
        </is>
      </c>
      <c r="H96" s="7" t="inlineStr">
        <is>
          <t>2025-09-30 / 2025-12-31 / 2026-03-31 / 2026-06-30</t>
        </is>
      </c>
      <c r="I96" s="8" t="n">
        <v>13195</v>
      </c>
      <c r="J96" s="8" t="n">
        <v>13938</v>
      </c>
      <c r="K96" s="8" t="n">
        <v>13339</v>
      </c>
      <c r="L96" s="8" t="n">
        <v>19088</v>
      </c>
      <c r="M96" s="9" t="n">
        <v>54.94764185404659</v>
      </c>
      <c r="N96" s="8" t="n">
        <v>15649.682</v>
      </c>
      <c r="O96" s="10" t="inlineStr">
        <is>
          <t>淨利 +C$1.28B
經常 +C$1.51B
一次: 無重大</t>
        </is>
      </c>
      <c r="P96" s="10" t="inlineStr">
        <is>
          <t>淨利 +C$932.0M
經常 +C$1.14B
一次: 無重大</t>
        </is>
      </c>
      <c r="Q96" s="10" t="inlineStr">
        <is>
          <t>淨利 +C$1.57B
經常 +C$2.36B
一次: 無重大</t>
        </is>
      </c>
      <c r="R96" s="10" t="inlineStr">
        <is>
          <t>淨利 +C$2.87B
經常 +C$4.28B
一次: 無重大</t>
        </is>
      </c>
      <c r="S96" s="11" t="n">
        <v>0.738</v>
      </c>
      <c r="T96" s="9" t="n">
        <v>22.42770326906957</v>
      </c>
      <c r="U96" s="9" t="n">
        <v>15.03562447611065</v>
      </c>
      <c r="V96" s="9" t="n">
        <v>30.86756077116513</v>
      </c>
      <c r="W96" s="10" t="inlineStr">
        <is>
          <t>無重大</t>
        </is>
      </c>
      <c r="X96" s="10" t="inlineStr">
        <is>
          <t>四季皆正：+1,513 → +1,140 → +2,359 → +4,281（百萬）</t>
        </is>
      </c>
      <c r="Y96" s="10" t="inlineStr">
        <is>
          <t>四季營運皆正、最新季淨利為正 — 經常性已盈利</t>
        </is>
      </c>
      <c r="Z96" s="12" t="inlineStr">
        <is>
          <t>A</t>
        </is>
      </c>
      <c r="AA96" s="7" t="inlineStr">
        <is>
          <t>2026-06-30 / 2026-10-29</t>
        </is>
      </c>
    </row>
    <row r="97" ht="46" customHeight="1">
      <c r="A97" s="5" t="n">
        <v>96</v>
      </c>
      <c r="B97" s="6" t="inlineStr">
        <is>
          <t>MPWR</t>
        </is>
      </c>
      <c r="C97" s="7" t="inlineStr">
        <is>
          <t>Monolithic Power Systems, Inc.</t>
        </is>
      </c>
      <c r="D97" s="7" t="inlineStr">
        <is>
          <t>Technology</t>
        </is>
      </c>
      <c r="E97" s="7" t="inlineStr">
        <is>
          <t>Semiconductors</t>
        </is>
      </c>
      <c r="F97" s="8" t="n">
        <v>60.14415198000001</v>
      </c>
      <c r="G97" s="5" t="inlineStr">
        <is>
          <t>USD</t>
        </is>
      </c>
      <c r="H97" s="7" t="inlineStr">
        <is>
          <t>2025-09-30 / 2025-12-31 / 2026-03-31 / 2026-06-30</t>
        </is>
      </c>
      <c r="I97" s="8" t="n">
        <v>737.176</v>
      </c>
      <c r="J97" s="8" t="n">
        <v>751.155</v>
      </c>
      <c r="K97" s="8" t="n">
        <v>804.1849999999999</v>
      </c>
      <c r="L97" s="8" t="n">
        <v>980.6420000000001</v>
      </c>
      <c r="M97" s="9" t="n">
        <v>47.55948923671407</v>
      </c>
      <c r="N97" s="8" t="n">
        <v>1194.26324</v>
      </c>
      <c r="O97" s="10" t="inlineStr">
        <is>
          <t>淨利 +$178.3M
經常 +$195.2M
一次: 無重大</t>
        </is>
      </c>
      <c r="P97" s="10" t="inlineStr">
        <is>
          <t>淨利 +$175.7M
經常 +$199.9M
一次: 無重大</t>
        </is>
      </c>
      <c r="Q97" s="10" t="inlineStr">
        <is>
          <t>淨利 +$193.2M
經常 +$241.2M
一次: 無重大</t>
        </is>
      </c>
      <c r="R97" s="10" t="inlineStr">
        <is>
          <t>淨利 +$257.3M
經常 +$303.9M
一次: 無重大</t>
        </is>
      </c>
      <c r="S97" s="11" t="n">
        <v>8.077209999999999</v>
      </c>
      <c r="T97" s="9" t="n">
        <v>30.98929068916078</v>
      </c>
      <c r="U97" s="9" t="n">
        <v>26.2377095820901</v>
      </c>
      <c r="V97" s="9" t="n">
        <v>55.17507918282105</v>
      </c>
      <c r="W97" s="10" t="inlineStr">
        <is>
          <t>無重大</t>
        </is>
      </c>
      <c r="X97" s="10" t="inlineStr">
        <is>
          <t>四季皆正：+195 → +200 → +241 → +304（百萬）</t>
        </is>
      </c>
      <c r="Y97" s="10" t="inlineStr">
        <is>
          <t>四季營運皆正、最新季淨利為正 — 經常性已盈利</t>
        </is>
      </c>
      <c r="Z97" s="12" t="inlineStr">
        <is>
          <t>A</t>
        </is>
      </c>
      <c r="AA97" s="7" t="inlineStr">
        <is>
          <t>2026-06-30 / 2026-10-29</t>
        </is>
      </c>
    </row>
    <row r="98" ht="46" customHeight="1">
      <c r="A98" s="5" t="n">
        <v>97</v>
      </c>
      <c r="B98" s="6" t="inlineStr">
        <is>
          <t>OXY</t>
        </is>
      </c>
      <c r="C98" s="7" t="inlineStr">
        <is>
          <t>Occidental Petroleum Corporation</t>
        </is>
      </c>
      <c r="D98" s="7" t="inlineStr">
        <is>
          <t>Energy</t>
        </is>
      </c>
      <c r="E98" s="7" t="inlineStr">
        <is>
          <t>Oil &amp; Gas E&amp;P</t>
        </is>
      </c>
      <c r="F98" s="8" t="n">
        <v>60.01822775502188</v>
      </c>
      <c r="G98" s="5" t="inlineStr">
        <is>
          <t>USD</t>
        </is>
      </c>
      <c r="H98" s="7" t="inlineStr">
        <is>
          <t>2025-09-30 / 2025-12-31 / 2026-03-31 / 2026-06-30</t>
        </is>
      </c>
      <c r="I98" s="8" t="n">
        <v>6624</v>
      </c>
      <c r="J98" s="8" t="n">
        <v>1752</v>
      </c>
      <c r="K98" s="8" t="n">
        <v>5230</v>
      </c>
      <c r="L98" s="8" t="n">
        <v>8065</v>
      </c>
      <c r="M98" s="9" t="n">
        <v>53.38531761125904</v>
      </c>
      <c r="N98" s="8" t="n">
        <v>6561.71275</v>
      </c>
      <c r="O98" s="10" t="inlineStr">
        <is>
          <t>淨利 +$657.0M
經常 +$1.17B
一次: 無重大</t>
        </is>
      </c>
      <c r="P98" s="10" t="inlineStr">
        <is>
          <t>淨利 -$67.0M
經常 +$117.0M
一次: +$150.1M（營收 9%）</t>
        </is>
      </c>
      <c r="Q98" s="10" t="inlineStr">
        <is>
          <t>淨利 +$3.15B
經常 +$927.0M
一次: -$112.6M（營收 2%）</t>
        </is>
      </c>
      <c r="R98" s="10" t="inlineStr">
        <is>
          <t>淨利 +$2.79B
經常 +$3.67B
一次: +$109.3M（營收 1%）</t>
        </is>
      </c>
      <c r="S98" s="11" t="n">
        <v>1.36722</v>
      </c>
      <c r="T98" s="9" t="n">
        <v>45.44327340359578</v>
      </c>
      <c r="U98" s="9" t="n">
        <v>34.55672659640421</v>
      </c>
      <c r="V98" s="9" t="n">
        <v>57.5077495350279</v>
      </c>
      <c r="W98" s="10" t="inlineStr">
        <is>
          <t>+$109.3M・營收 1.4%</t>
        </is>
      </c>
      <c r="X98" s="10" t="inlineStr">
        <is>
          <t>四季皆正：+1,174 → +117 → +927 → +3,665（百萬）</t>
        </is>
      </c>
      <c r="Y98" s="10" t="inlineStr">
        <is>
          <t>四季營運皆正、最新季淨利為正 — 經常性已盈利</t>
        </is>
      </c>
      <c r="Z98" s="12" t="inlineStr">
        <is>
          <t>A</t>
        </is>
      </c>
      <c r="AA98" s="7" t="inlineStr">
        <is>
          <t>2026-06-30 / 2026-11-09</t>
        </is>
      </c>
    </row>
    <row r="99" ht="46" customHeight="1">
      <c r="A99" s="5" t="n">
        <v>98</v>
      </c>
      <c r="B99" s="6" t="inlineStr">
        <is>
          <t>CAH</t>
        </is>
      </c>
      <c r="C99" s="7" t="inlineStr">
        <is>
          <t>Cardinal Health, Inc.</t>
        </is>
      </c>
      <c r="D99" s="7" t="inlineStr">
        <is>
          <t>Health Care</t>
        </is>
      </c>
      <c r="E99" s="7" t="inlineStr">
        <is>
          <t>Medical Distribution</t>
        </is>
      </c>
      <c r="F99" s="8" t="n">
        <v>57.48806844700002</v>
      </c>
      <c r="G99" s="5" t="inlineStr">
        <is>
          <t>USD</t>
        </is>
      </c>
      <c r="H99" s="7" t="inlineStr">
        <is>
          <t>2025-09-30 / 2025-12-31 / 2026-03-31 / 2026-06-30</t>
        </is>
      </c>
      <c r="I99" s="8" t="n">
        <v>64009</v>
      </c>
      <c r="J99" s="8" t="n">
        <v>65627</v>
      </c>
      <c r="K99" s="8" t="n">
        <v>60940</v>
      </c>
      <c r="L99" s="8" t="n">
        <v>63672</v>
      </c>
      <c r="M99" s="9" t="n">
        <v>5.839525258066125</v>
      </c>
      <c r="N99" s="8" t="n">
        <v>68271.00924</v>
      </c>
      <c r="O99" s="10" t="inlineStr">
        <is>
          <t>淨利 +$450.0M
經常 +$754.0M
一次: 無重大</t>
        </is>
      </c>
      <c r="P99" s="10" t="inlineStr">
        <is>
          <t>淨利 +$467.0M
經常 +$763.0M
一次: 無重大</t>
        </is>
      </c>
      <c r="Q99" s="10" t="inlineStr">
        <is>
          <t>淨利 +$399.0M
經常 +$842.0M
一次: 無重大</t>
        </is>
      </c>
      <c r="R99" s="10" t="inlineStr">
        <is>
          <t>淨利 +$398.0M
經常 +$814.0M
一次: 無重大</t>
        </is>
      </c>
      <c r="S99" s="11" t="n">
        <v>3.1148</v>
      </c>
      <c r="T99" s="9" t="n">
        <v>1.278426938057545</v>
      </c>
      <c r="U99" s="9" t="n">
        <v>0.6250785274531976</v>
      </c>
      <c r="V99" s="9" t="n">
        <v>4.02060560371906</v>
      </c>
      <c r="W99" s="10" t="inlineStr">
        <is>
          <t>無重大</t>
        </is>
      </c>
      <c r="X99" s="10" t="inlineStr">
        <is>
          <t>四季皆正：+754 → +763 → +842 → +814（百萬）</t>
        </is>
      </c>
      <c r="Y99" s="10" t="inlineStr">
        <is>
          <t>四季營運皆正、最新季淨利為正 — 經常性已盈利</t>
        </is>
      </c>
      <c r="Z99" s="12" t="inlineStr">
        <is>
          <t>A</t>
        </is>
      </c>
      <c r="AA99" s="7" t="inlineStr">
        <is>
          <t>2026-06-30 / 2026-11-05</t>
        </is>
      </c>
    </row>
    <row r="100" ht="46" customHeight="1">
      <c r="A100" s="5" t="n">
        <v>99</v>
      </c>
      <c r="B100" s="6" t="inlineStr">
        <is>
          <t>NKE</t>
        </is>
      </c>
      <c r="C100" s="7" t="inlineStr">
        <is>
          <t>NIKE, Inc.</t>
        </is>
      </c>
      <c r="D100" s="7" t="inlineStr">
        <is>
          <t>Consumer Discretionary</t>
        </is>
      </c>
      <c r="E100" s="7" t="inlineStr">
        <is>
          <t>Footwear &amp; Accessories</t>
        </is>
      </c>
      <c r="F100" s="8" t="n">
        <v>56.96635019537897</v>
      </c>
      <c r="G100" s="5" t="inlineStr">
        <is>
          <t>USD</t>
        </is>
      </c>
      <c r="H100" s="7" t="inlineStr">
        <is>
          <t>2025-08-31 / 2025-11-30 / 2026-02-28 / 2026-05-31</t>
        </is>
      </c>
      <c r="I100" s="8" t="n">
        <v>11720</v>
      </c>
      <c r="J100" s="8" t="n">
        <v>12427</v>
      </c>
      <c r="K100" s="8" t="n">
        <v>11279</v>
      </c>
      <c r="L100" s="8" t="n">
        <v>10972</v>
      </c>
      <c r="M100" s="9" t="n">
        <v>-1.126430566819858</v>
      </c>
      <c r="N100" s="8" t="n">
        <v>11904.13636</v>
      </c>
      <c r="O100" s="10" t="inlineStr">
        <is>
          <t>淨利 +$727.0M
經常 +$927.0M
一次: 無重大</t>
        </is>
      </c>
      <c r="P100" s="10" t="inlineStr">
        <is>
          <t>淨利 +$792.0M
經常 +$1.01B
一次: 無重大</t>
        </is>
      </c>
      <c r="Q100" s="10" t="inlineStr">
        <is>
          <t>淨利 +$520.0M
經常 +$553.0M
一次: 無重大</t>
        </is>
      </c>
      <c r="R100" s="10" t="inlineStr">
        <is>
          <t>淨利 +$1.07B
經常 +$1.31B
一次: 無重大</t>
        </is>
      </c>
      <c r="S100" s="11" t="n">
        <v>0.52964</v>
      </c>
      <c r="T100" s="9" t="n">
        <v>11.94859642726941</v>
      </c>
      <c r="U100" s="9" t="n">
        <v>9.742982136347065</v>
      </c>
      <c r="V100" s="9" t="n">
        <v>49.15238789646373</v>
      </c>
      <c r="W100" s="10" t="inlineStr">
        <is>
          <t>無重大</t>
        </is>
      </c>
      <c r="X100" s="10" t="inlineStr">
        <is>
          <t>四季皆正：+927 → +1,006 → +553 → +1,311（百萬）</t>
        </is>
      </c>
      <c r="Y100" s="10" t="inlineStr">
        <is>
          <t>四季營運皆正、最新季淨利為正 — 經常性已盈利</t>
        </is>
      </c>
      <c r="Z100" s="12" t="inlineStr">
        <is>
          <t>A</t>
        </is>
      </c>
      <c r="AA100" s="7" t="inlineStr">
        <is>
          <t>2026-05-31 / 2026-10-01</t>
        </is>
      </c>
    </row>
    <row r="101" ht="46" customHeight="1">
      <c r="A101" s="5" t="n">
        <v>100</v>
      </c>
      <c r="B101" s="6" t="inlineStr">
        <is>
          <t>TER</t>
        </is>
      </c>
      <c r="C101" s="7" t="inlineStr">
        <is>
          <t>Teradyne, Inc.</t>
        </is>
      </c>
      <c r="D101" s="7" t="inlineStr">
        <is>
          <t>Industrials</t>
        </is>
      </c>
      <c r="E101" s="7" t="inlineStr">
        <is>
          <t>Semiconductor Equipment &amp; Materials</t>
        </is>
      </c>
      <c r="F101" s="8" t="n">
        <v>55.81833797299885</v>
      </c>
      <c r="G101" s="5" t="inlineStr">
        <is>
          <t>USD</t>
        </is>
      </c>
      <c r="H101" s="7" t="inlineStr">
        <is>
          <t>2025-09-30 / 2025-12-31 / 2026-03-31 / 2026-06-30</t>
        </is>
      </c>
      <c r="I101" s="8" t="n">
        <v>769.21</v>
      </c>
      <c r="J101" s="8" t="n">
        <v>1083.337</v>
      </c>
      <c r="K101" s="8" t="n">
        <v>1282.494</v>
      </c>
      <c r="L101" s="8" t="n">
        <v>1328.99</v>
      </c>
      <c r="M101" s="9" t="n">
        <v>103.8963051379494</v>
      </c>
      <c r="N101" s="8" t="n">
        <v>1262.05105</v>
      </c>
      <c r="O101" s="10" t="inlineStr">
        <is>
          <t>淨利 +$119.6M
經常 +$151.9M
一次: 無重大</t>
        </is>
      </c>
      <c r="P101" s="10" t="inlineStr">
        <is>
          <t>淨利 +$257.2M
經常 +$308.3M
一次: -$13.6M（營收 1%）</t>
        </is>
      </c>
      <c r="Q101" s="10" t="inlineStr">
        <is>
          <t>淨利 +$398.9M
經常 +$476.4M
一次: 無重大</t>
        </is>
      </c>
      <c r="R101" s="10" t="inlineStr">
        <is>
          <t>淨利 +$374.5M
經常 +$440.8M
一次: 無重大</t>
        </is>
      </c>
      <c r="S101" s="11" t="n">
        <v>2.01373</v>
      </c>
      <c r="T101" s="9" t="n">
        <v>33.17120520094207</v>
      </c>
      <c r="U101" s="9" t="n">
        <v>28.18177713903039</v>
      </c>
      <c r="V101" s="9" t="n">
        <v>59.79111957200581</v>
      </c>
      <c r="W101" s="10" t="inlineStr">
        <is>
          <t>無重大</t>
        </is>
      </c>
      <c r="X101" s="10" t="inlineStr">
        <is>
          <t>四季皆正：+152 → +308 → +476 → +441（百萬）</t>
        </is>
      </c>
      <c r="Y101" s="10" t="inlineStr">
        <is>
          <t>四季營運皆正、最新季淨利為正 — 經常性已盈利</t>
        </is>
      </c>
      <c r="Z101" s="12" t="inlineStr">
        <is>
          <t>A</t>
        </is>
      </c>
      <c r="AA101" s="7" t="inlineStr">
        <is>
          <t>2026-06-30 / 2026-10-21</t>
        </is>
      </c>
    </row>
    <row r="102" ht="46" customHeight="1">
      <c r="A102" s="5" t="n">
        <v>101</v>
      </c>
      <c r="B102" s="6" t="inlineStr">
        <is>
          <t>FANG</t>
        </is>
      </c>
      <c r="C102" s="7" t="inlineStr">
        <is>
          <t>Diamondback Energy, Inc.</t>
        </is>
      </c>
      <c r="D102" s="7" t="inlineStr">
        <is>
          <t>Energy</t>
        </is>
      </c>
      <c r="E102" s="7" t="inlineStr">
        <is>
          <t>Oil &amp; Gas E&amp;P</t>
        </is>
      </c>
      <c r="F102" s="8" t="n">
        <v>55.78645160492974</v>
      </c>
      <c r="G102" s="5" t="inlineStr">
        <is>
          <t>USD</t>
        </is>
      </c>
      <c r="H102" s="7" t="inlineStr">
        <is>
          <t>2025-09-30 / 2025-12-31 / 2026-03-31 / 2026-06-30</t>
        </is>
      </c>
      <c r="I102" s="8" t="n">
        <v>3906</v>
      </c>
      <c r="J102" s="8" t="n">
        <v>3341</v>
      </c>
      <c r="K102" s="8" t="n">
        <v>4210</v>
      </c>
      <c r="L102" s="8" t="n">
        <v>5525</v>
      </c>
      <c r="M102" s="9" t="n">
        <v>51.32840317721173</v>
      </c>
      <c r="N102" s="8" t="n">
        <v>4495.62212</v>
      </c>
      <c r="O102" s="10" t="inlineStr">
        <is>
          <t>淨利 +$1.02B
經常 +$1.25B
一次: +$62.5M（營收 2%）</t>
        </is>
      </c>
      <c r="P102" s="10" t="inlineStr">
        <is>
          <t>淨利 -$1.46B
經常 +$776.0M
一次: -$2.54B（營收 76%）</t>
        </is>
      </c>
      <c r="Q102" s="10" t="inlineStr">
        <is>
          <t>淨利 +$22.0M
經常 +$1.52B
一次: -$1.05B（營收 25%）</t>
        </is>
      </c>
      <c r="R102" s="10" t="inlineStr">
        <is>
          <t>淨利 +$1.88B
經常 +$2.51B
一次: +$142.7M（營收 3%）</t>
        </is>
      </c>
      <c r="S102" s="11" t="n">
        <v>4.88663</v>
      </c>
      <c r="T102" s="9" t="n">
        <v>45.46606334841629</v>
      </c>
      <c r="U102" s="9" t="n">
        <v>34.06334841628959</v>
      </c>
      <c r="V102" s="9" t="n">
        <v>46.40723981900452</v>
      </c>
      <c r="W102" s="10" t="inlineStr">
        <is>
          <t>+$142.7M・營收 2.6%</t>
        </is>
      </c>
      <c r="X102" s="10" t="inlineStr">
        <is>
          <t>四季皆正：+1,253 → +776 → +1,516 → +2,512（百萬）</t>
        </is>
      </c>
      <c r="Y102" s="10" t="inlineStr">
        <is>
          <t>四季營運皆正、最新季淨利為正 — 經常性已盈利</t>
        </is>
      </c>
      <c r="Z102" s="12" t="inlineStr">
        <is>
          <t>A</t>
        </is>
      </c>
      <c r="AA102" s="7" t="inlineStr">
        <is>
          <t>2026-06-30 / 2026-11-02</t>
        </is>
      </c>
    </row>
    <row r="103" ht="46" customHeight="1">
      <c r="A103" s="5" t="n">
        <v>102</v>
      </c>
      <c r="B103" s="6" t="inlineStr">
        <is>
          <t>COHR</t>
        </is>
      </c>
      <c r="C103" s="7" t="inlineStr">
        <is>
          <t>Coherent Corp.</t>
        </is>
      </c>
      <c r="D103" s="7" t="inlineStr">
        <is>
          <t>Technology</t>
        </is>
      </c>
      <c r="E103" s="7" t="inlineStr">
        <is>
          <t>Scientific &amp; Technical Instruments</t>
        </is>
      </c>
      <c r="F103" s="8" t="n">
        <v>55.19727685788792</v>
      </c>
      <c r="G103" s="5" t="inlineStr">
        <is>
          <t>USD</t>
        </is>
      </c>
      <c r="H103" s="7" t="inlineStr">
        <is>
          <t>2025-09-30 / 2025-12-31 / 2026-03-31 / 2026-06-30</t>
        </is>
      </c>
      <c r="I103" s="8" t="n">
        <v>1581.378</v>
      </c>
      <c r="J103" s="8" t="n">
        <v>1685.629</v>
      </c>
      <c r="K103" s="8" t="n">
        <v>1805.641</v>
      </c>
      <c r="L103" s="8" t="n">
        <v>2045.533</v>
      </c>
      <c r="M103" s="9" t="n">
        <v>33.7442691292738</v>
      </c>
      <c r="N103" s="8" t="n">
        <v>2528.63298</v>
      </c>
      <c r="O103" s="10" t="inlineStr">
        <is>
          <t>淨利 +$192.9M
經常 +$172.2M
一次: +$68.6M（營收 4%）</t>
        </is>
      </c>
      <c r="P103" s="10" t="inlineStr">
        <is>
          <t>淨利 +$145.1M
經常 +$198.6M
一次: 無重大</t>
        </is>
      </c>
      <c r="Q103" s="10" t="inlineStr">
        <is>
          <t>淨利 +$191.4M
經常 +$226.3M
一次: -$25.1M（營收 1%）</t>
        </is>
      </c>
      <c r="R103" s="10" t="inlineStr">
        <is>
          <t>淨利 +$240.5M
經常 +$304.3M
一次: -$42.7M（營收 2%）</t>
        </is>
      </c>
      <c r="S103" s="11" t="n">
        <v>2.1921</v>
      </c>
      <c r="T103" s="9" t="n">
        <v>14.87817600596031</v>
      </c>
      <c r="U103" s="9" t="n">
        <v>11.7587934293898</v>
      </c>
      <c r="V103" s="9" t="n">
        <v>38.47774638688303</v>
      </c>
      <c r="W103" s="10" t="inlineStr">
        <is>
          <t>-$42.7M・營收 2.1%</t>
        </is>
      </c>
      <c r="X103" s="10" t="inlineStr">
        <is>
          <t>四季皆正：+172 → +199 → +226 → +304（百萬）</t>
        </is>
      </c>
      <c r="Y103" s="10" t="inlineStr">
        <is>
          <t>四季營運皆正、最新季淨利為正 — 經常性已盈利</t>
        </is>
      </c>
      <c r="Z103" s="12" t="inlineStr">
        <is>
          <t>A</t>
        </is>
      </c>
      <c r="AA103" s="7" t="inlineStr">
        <is>
          <t>2026-06-30 / 2026-11-04</t>
        </is>
      </c>
    </row>
    <row r="104" ht="46" customHeight="1">
      <c r="A104" s="5" t="n">
        <v>103</v>
      </c>
      <c r="B104" s="6" t="inlineStr">
        <is>
          <t>ALAB</t>
        </is>
      </c>
      <c r="C104" s="7" t="inlineStr">
        <is>
          <t>Astera Labs, Inc.</t>
        </is>
      </c>
      <c r="D104" s="7" t="inlineStr">
        <is>
          <t>Technology</t>
        </is>
      </c>
      <c r="E104" s="7" t="inlineStr">
        <is>
          <t>Semiconductors</t>
        </is>
      </c>
      <c r="F104" s="8" t="n">
        <v>53.8497762816</v>
      </c>
      <c r="G104" s="5" t="inlineStr">
        <is>
          <t>USD</t>
        </is>
      </c>
      <c r="H104" s="7" t="inlineStr">
        <is>
          <t>2025-09-30 / 2025-12-31 / 2026-03-31 / 2026-06-30</t>
        </is>
      </c>
      <c r="I104" s="8" t="n">
        <v>230.575</v>
      </c>
      <c r="J104" s="8" t="n">
        <v>270.583</v>
      </c>
      <c r="K104" s="8" t="n">
        <v>308.361</v>
      </c>
      <c r="L104" s="8" t="n">
        <v>392.4</v>
      </c>
      <c r="M104" s="9" t="n">
        <v>104.4548651817116</v>
      </c>
      <c r="N104" s="8" t="n">
        <v>655.30752</v>
      </c>
      <c r="O104" s="10" t="inlineStr">
        <is>
          <t>淨利 +$91.1M
經常 +$55.4M
一次: 無重大</t>
        </is>
      </c>
      <c r="P104" s="10" t="inlineStr">
        <is>
          <t>淨利 +$45.0M
經常 +$67.0M
一次: 無重大</t>
        </is>
      </c>
      <c r="Q104" s="10" t="inlineStr">
        <is>
          <t>淨利 +$80.3M
經常 +$61.8M
一次: 無重大</t>
        </is>
      </c>
      <c r="R104" s="10" t="inlineStr">
        <is>
          <t>淨利 +$153.1M
經常 +$89.2M
一次: 無重大</t>
        </is>
      </c>
      <c r="S104" s="11" t="n">
        <v>1.41847</v>
      </c>
      <c r="T104" s="9" t="n">
        <v>22.74413863404689</v>
      </c>
      <c r="U104" s="9" t="n">
        <v>39.01325178389398</v>
      </c>
      <c r="V104" s="9" t="n">
        <v>73.28414882772681</v>
      </c>
      <c r="W104" s="10" t="inlineStr">
        <is>
          <t>無重大</t>
        </is>
      </c>
      <c r="X104" s="10" t="inlineStr">
        <is>
          <t>四季皆正：+55 → +67 → +62 → +89（百萬）</t>
        </is>
      </c>
      <c r="Y104" s="10" t="inlineStr">
        <is>
          <t>四季營運皆正、最新季淨利為正 — 經常性已盈利</t>
        </is>
      </c>
      <c r="Z104" s="12" t="inlineStr">
        <is>
          <t>A</t>
        </is>
      </c>
      <c r="AA104" s="7" t="inlineStr">
        <is>
          <t>2026-06-30 / 2026-11-03</t>
        </is>
      </c>
    </row>
    <row r="105" ht="46" customHeight="1">
      <c r="A105" s="5" t="n">
        <v>104</v>
      </c>
      <c r="B105" s="6" t="inlineStr">
        <is>
          <t>STT</t>
        </is>
      </c>
      <c r="C105" s="7" t="inlineStr">
        <is>
          <t>State Street Corporation</t>
        </is>
      </c>
      <c r="D105" s="7" t="inlineStr">
        <is>
          <t>Finance</t>
        </is>
      </c>
      <c r="E105" s="7" t="inlineStr">
        <is>
          <t>Asset Management</t>
        </is>
      </c>
      <c r="F105" s="8" t="n">
        <v>53.36356486869897</v>
      </c>
      <c r="G105" s="5" t="inlineStr">
        <is>
          <t>USD</t>
        </is>
      </c>
      <c r="H105" s="7" t="inlineStr">
        <is>
          <t>2025-09-30 / 2025-12-31 / 2026-03-31 / 2026-06-30</t>
        </is>
      </c>
      <c r="I105" s="8" t="n">
        <v>3545</v>
      </c>
      <c r="J105" s="8" t="n">
        <v>3667</v>
      </c>
      <c r="K105" s="8" t="n">
        <v>3796</v>
      </c>
      <c r="L105" s="8" t="n">
        <v>4048</v>
      </c>
      <c r="M105" s="9" t="n">
        <v>16.69068895935428</v>
      </c>
      <c r="N105" s="8" t="n">
        <v>4025.06838</v>
      </c>
      <c r="O105" s="10" t="inlineStr">
        <is>
          <t>淨利 +$802.0M
經常* +$1.10B
一次: 無重大</t>
        </is>
      </c>
      <c r="P105" s="10" t="inlineStr">
        <is>
          <t>淨利 +$688.0M
經常* +$1.09B
一次: -$168.4M（營收 5%）</t>
        </is>
      </c>
      <c r="Q105" s="10" t="inlineStr">
        <is>
          <t>淨利 +$705.0M
經常* +$1.07B
一次: -$102.5M（營收 3%）</t>
        </is>
      </c>
      <c r="R105" s="10" t="inlineStr">
        <is>
          <t>淨利 +$1.03B
經常* +$1.39B
一次: 無重大</t>
        </is>
      </c>
      <c r="S105" s="11" t="n">
        <v>3.57994</v>
      </c>
      <c r="T105" s="9" t="n">
        <v>34.31324110671937</v>
      </c>
      <c r="U105" s="9" t="n">
        <v>25.34584980237154</v>
      </c>
      <c r="V105" s="9" t="n"/>
      <c r="W105" s="10" t="inlineStr">
        <is>
          <t>無重大</t>
        </is>
      </c>
      <c r="X105" s="10" t="inlineStr">
        <is>
          <t>四季皆正：+1,102 → +1,086 → +1,071 → +1,389（百萬）</t>
        </is>
      </c>
      <c r="Y105" s="10" t="inlineStr">
        <is>
          <t>四季營運皆正、最新季淨利為正 — 經常性已盈利</t>
        </is>
      </c>
      <c r="Z105" s="12" t="inlineStr">
        <is>
          <t>A</t>
        </is>
      </c>
      <c r="AA105" s="7" t="inlineStr">
        <is>
          <t>2026-06-30 / 2026-10-14</t>
        </is>
      </c>
    </row>
    <row r="106" ht="46" customHeight="1">
      <c r="A106" s="5" t="n">
        <v>105</v>
      </c>
      <c r="B106" s="6" t="inlineStr">
        <is>
          <t>VST</t>
        </is>
      </c>
      <c r="C106" s="7" t="inlineStr">
        <is>
          <t>Vistra Corp.</t>
        </is>
      </c>
      <c r="D106" s="7" t="inlineStr">
        <is>
          <t>Utilities</t>
        </is>
      </c>
      <c r="E106" s="7" t="inlineStr">
        <is>
          <t>Utilities - Independent Power Producers</t>
        </is>
      </c>
      <c r="F106" s="8" t="n">
        <v>50.11033461319602</v>
      </c>
      <c r="G106" s="5" t="inlineStr">
        <is>
          <t>USD</t>
        </is>
      </c>
      <c r="H106" s="7" t="inlineStr">
        <is>
          <t>2025-09-30 / 2025-12-31 / 2026-03-31 / 2026-06-30</t>
        </is>
      </c>
      <c r="I106" s="8" t="n">
        <v>4971</v>
      </c>
      <c r="J106" s="8" t="n">
        <v>4584</v>
      </c>
      <c r="K106" s="8" t="n">
        <v>5640</v>
      </c>
      <c r="L106" s="8" t="n">
        <v>4017</v>
      </c>
      <c r="M106" s="9" t="n">
        <v>-5.482352941176472</v>
      </c>
      <c r="N106" s="8" t="n">
        <v>6884.779</v>
      </c>
      <c r="O106" s="10" t="inlineStr">
        <is>
          <t>淨利 +$604.0M
經常 +$1.04B
一次: 無重大</t>
        </is>
      </c>
      <c r="P106" s="10" t="inlineStr">
        <is>
          <t>淨利 +$185.0M
經常 +$629.0M
一次: -$74.1M（營收 2%）</t>
        </is>
      </c>
      <c r="Q106" s="10" t="inlineStr">
        <is>
          <t>淨利 +$980.0M
經常 +$1.50B
一次: 無重大</t>
        </is>
      </c>
      <c r="R106" s="10" t="inlineStr">
        <is>
          <t>淨利 +$258.0M
經常 +$553.0M
一次: 無重大</t>
        </is>
      </c>
      <c r="S106" s="11" t="n">
        <v>3.09861</v>
      </c>
      <c r="T106" s="9" t="n">
        <v>13.76649240726911</v>
      </c>
      <c r="U106" s="9" t="n">
        <v>6.422703510082151</v>
      </c>
      <c r="V106" s="9" t="n">
        <v>34.60293751555887</v>
      </c>
      <c r="W106" s="10" t="inlineStr">
        <is>
          <t>無重大</t>
        </is>
      </c>
      <c r="X106" s="10" t="inlineStr">
        <is>
          <t>四季皆正：+1,042 → +629 → +1,499 → +553（百萬）</t>
        </is>
      </c>
      <c r="Y106" s="10" t="inlineStr">
        <is>
          <t>四季營運皆正、最新季淨利為正 — 經常性已盈利</t>
        </is>
      </c>
      <c r="Z106" s="12" t="inlineStr">
        <is>
          <t>A</t>
        </is>
      </c>
      <c r="AA106" s="7" t="inlineStr">
        <is>
          <t>2026-06-30 / 2026-11-05</t>
        </is>
      </c>
    </row>
    <row r="107" ht="46" customHeight="1">
      <c r="A107" s="5" t="n">
        <v>106</v>
      </c>
      <c r="B107" s="6" t="inlineStr">
        <is>
          <t>ETR</t>
        </is>
      </c>
      <c r="C107" s="7" t="inlineStr">
        <is>
          <t>Entergy Corporation</t>
        </is>
      </c>
      <c r="D107" s="7" t="inlineStr">
        <is>
          <t>Utilities</t>
        </is>
      </c>
      <c r="E107" s="7" t="inlineStr">
        <is>
          <t>Utilities - Regulated Electric</t>
        </is>
      </c>
      <c r="F107" s="8" t="n">
        <v>50.05556079063947</v>
      </c>
      <c r="G107" s="5" t="inlineStr">
        <is>
          <t>USD</t>
        </is>
      </c>
      <c r="H107" s="7" t="inlineStr">
        <is>
          <t>2025-06-30 / 2025-09-30 / 2025-12-31 / 2026-03-31</t>
        </is>
      </c>
      <c r="I107" s="8" t="n">
        <v>3328.849</v>
      </c>
      <c r="J107" s="8" t="n">
        <v>3812.019</v>
      </c>
      <c r="K107" s="8" t="n">
        <v>2958.944</v>
      </c>
      <c r="L107" s="8" t="n">
        <v>3187.626</v>
      </c>
      <c r="M107" s="9" t="n">
        <v>11.96933900130461</v>
      </c>
      <c r="N107" s="8" t="n">
        <v>3315.63147</v>
      </c>
      <c r="O107" s="10" t="inlineStr">
        <is>
          <t>淨利 +$467.9M
經常 +$837.4M
一次: +$39.7M（營收 1%）</t>
        </is>
      </c>
      <c r="P107" s="10" t="inlineStr">
        <is>
          <t>淨利 +$693.8M
經常 +$1.13B
一次: 無重大</t>
        </is>
      </c>
      <c r="Q107" s="10" t="inlineStr">
        <is>
          <t>淨利 +$235.8M
經常 +$545.7M
一次: 無重大</t>
        </is>
      </c>
      <c r="R107" s="10" t="inlineStr">
        <is>
          <t>淨利 +$384.9M
經常 +$590.3M
一次: 無重大</t>
        </is>
      </c>
      <c r="S107" s="11" t="n">
        <v>0.91024</v>
      </c>
      <c r="T107" s="9" t="n">
        <v>18.51788760663892</v>
      </c>
      <c r="U107" s="9" t="n">
        <v>12.07531874818438</v>
      </c>
      <c r="V107" s="9" t="n">
        <v>47.52913296603805</v>
      </c>
      <c r="W107" s="10" t="inlineStr">
        <is>
          <t>無重大</t>
        </is>
      </c>
      <c r="X107" s="10" t="inlineStr">
        <is>
          <t>四季皆正：+837 → +1,132 → +546 → +590（百萬）</t>
        </is>
      </c>
      <c r="Y107" s="10" t="inlineStr">
        <is>
          <t>四季營運皆正、最新季淨利為正 — 經常性已盈利</t>
        </is>
      </c>
      <c r="Z107" s="12" t="inlineStr">
        <is>
          <t>A</t>
        </is>
      </c>
      <c r="AA107" s="7" t="inlineStr">
        <is>
          <t>2026-03-31 / 2026-10-29</t>
        </is>
      </c>
    </row>
    <row r="108" ht="46" customHeight="1">
      <c r="A108" s="5" t="n">
        <v>107</v>
      </c>
      <c r="B108" s="6" t="inlineStr">
        <is>
          <t>CIEN</t>
        </is>
      </c>
      <c r="C108" s="7" t="inlineStr">
        <is>
          <t>Ciena Corporation</t>
        </is>
      </c>
      <c r="D108" s="7" t="inlineStr">
        <is>
          <t>Utilities</t>
        </is>
      </c>
      <c r="E108" s="7" t="inlineStr">
        <is>
          <t>Communication Equipment</t>
        </is>
      </c>
      <c r="F108" s="8" t="n">
        <v>45.43848796221764</v>
      </c>
      <c r="G108" s="5" t="inlineStr">
        <is>
          <t>USD</t>
        </is>
      </c>
      <c r="H108" s="7" t="inlineStr">
        <is>
          <t>2025-07-31 / 2025-10-31 / 2026-01-31 / 2026-04-30</t>
        </is>
      </c>
      <c r="I108" s="8" t="n">
        <v>1219.385</v>
      </c>
      <c r="J108" s="8" t="n">
        <v>1351.984</v>
      </c>
      <c r="K108" s="8" t="n">
        <v>1427.042</v>
      </c>
      <c r="L108" s="8" t="n">
        <v>1570.739</v>
      </c>
      <c r="M108" s="9" t="n">
        <v>39.51236279596901</v>
      </c>
      <c r="N108" s="8" t="n">
        <v>1838.93515</v>
      </c>
      <c r="O108" s="10" t="inlineStr">
        <is>
          <t>淨利 +$50.3M
經常 +$75.3M
一次: 無重大</t>
        </is>
      </c>
      <c r="P108" s="10" t="inlineStr">
        <is>
          <t>淨利 +$19.5M
經常 +$118.5M
一次: -$83.2M（營收 6%）</t>
        </is>
      </c>
      <c r="Q108" s="10" t="inlineStr">
        <is>
          <t>淨利 +$150.3M
經常 +$191.2M
一次: 無重大</t>
        </is>
      </c>
      <c r="R108" s="10" t="inlineStr">
        <is>
          <t>淨利 +$218.2M
經常 +$238.7M
一次: 無重大</t>
        </is>
      </c>
      <c r="S108" s="11" t="n">
        <v>2.36193</v>
      </c>
      <c r="T108" s="9" t="n">
        <v>15.19514063125701</v>
      </c>
      <c r="U108" s="9" t="n">
        <v>13.89282369636203</v>
      </c>
      <c r="V108" s="9" t="n">
        <v>44.02730179870748</v>
      </c>
      <c r="W108" s="10" t="inlineStr">
        <is>
          <t>無重大</t>
        </is>
      </c>
      <c r="X108" s="10" t="inlineStr">
        <is>
          <t>四季皆正：+75 → +118 → +191 → +239（百萬）</t>
        </is>
      </c>
      <c r="Y108" s="10" t="inlineStr">
        <is>
          <t>四季營運皆正、最新季淨利為正 — 經常性已盈利</t>
        </is>
      </c>
      <c r="Z108" s="12" t="inlineStr">
        <is>
          <t>A</t>
        </is>
      </c>
      <c r="AA108" s="7" t="inlineStr">
        <is>
          <t>2026-04-30 / 2026-09-03</t>
        </is>
      </c>
    </row>
    <row r="109" ht="46" customHeight="1">
      <c r="A109" s="5" t="n">
        <v>108</v>
      </c>
      <c r="B109" s="6" t="inlineStr">
        <is>
          <t>CCJ</t>
        </is>
      </c>
      <c r="C109" s="7" t="inlineStr">
        <is>
          <t>Cameco Corporation</t>
        </is>
      </c>
      <c r="D109" s="7" t="inlineStr">
        <is>
          <t>Basic Materials</t>
        </is>
      </c>
      <c r="E109" s="7" t="inlineStr">
        <is>
          <t>Uranium</t>
        </is>
      </c>
      <c r="F109" s="8" t="n">
        <v>43.87559220343018</v>
      </c>
      <c r="G109" s="5" t="inlineStr">
        <is>
          <t>CAD</t>
        </is>
      </c>
      <c r="H109" s="7" t="inlineStr">
        <is>
          <t>2025-06-30 / 2025-09-30 / 2025-12-31 / 2026-03-31</t>
        </is>
      </c>
      <c r="I109" s="8" t="n">
        <v>877.016</v>
      </c>
      <c r="J109" s="8" t="n">
        <v>614.5549999999999</v>
      </c>
      <c r="K109" s="8" t="n">
        <v>1200.93</v>
      </c>
      <c r="L109" s="8" t="n">
        <v>845.365</v>
      </c>
      <c r="M109" s="9" t="n">
        <v>7.085220766323119</v>
      </c>
      <c r="N109" s="8" t="n">
        <v>1082.85608</v>
      </c>
      <c r="O109" s="10" t="inlineStr">
        <is>
          <t>淨利 +C$320.9M
經常 +C$156.3M
一次: +C$48.1M（營收 5%）</t>
        </is>
      </c>
      <c r="P109" s="10" t="inlineStr">
        <is>
          <t>淨利 -C$0.1M
經常 +C$82.5M
一次: -C$33.9M（營收 6%）</t>
        </is>
      </c>
      <c r="Q109" s="10" t="inlineStr">
        <is>
          <t>淨利 +C$199.1M
經常 +C$204.3M
一次: +C$18.8M（營收 2%）</t>
        </is>
      </c>
      <c r="R109" s="10" t="inlineStr">
        <is>
          <t>淨利 +C$130.8M
經常 +C$164.1M
一次: -C$30.6M（營收 4%）</t>
        </is>
      </c>
      <c r="S109" s="11" t="n">
        <v>0.51062</v>
      </c>
      <c r="T109" s="9" t="n">
        <v>19.4174114140046</v>
      </c>
      <c r="U109" s="9" t="n">
        <v>15.46681019441306</v>
      </c>
      <c r="V109" s="9" t="n">
        <v>35.67500428808858</v>
      </c>
      <c r="W109" s="10" t="inlineStr">
        <is>
          <t>-C$30.6M・營收 3.6%</t>
        </is>
      </c>
      <c r="X109" s="10" t="inlineStr">
        <is>
          <t>四季皆正：+156 → +83 → +204 → +164（百萬）</t>
        </is>
      </c>
      <c r="Y109" s="10" t="inlineStr">
        <is>
          <t>四季營運皆正、最新季淨利為正 — 經常性已盈利</t>
        </is>
      </c>
      <c r="Z109" s="12" t="inlineStr">
        <is>
          <t>A</t>
        </is>
      </c>
      <c r="AA109" s="7" t="inlineStr">
        <is>
          <t>2026-03-31 / 2026-10-30</t>
        </is>
      </c>
    </row>
    <row r="110" ht="46" customHeight="1">
      <c r="A110" s="5" t="n">
        <v>109</v>
      </c>
      <c r="B110" s="6" t="inlineStr">
        <is>
          <t>IBKR</t>
        </is>
      </c>
      <c r="C110" s="7" t="inlineStr">
        <is>
          <t>Interactive Brokers Group, Inc.</t>
        </is>
      </c>
      <c r="D110" s="7" t="inlineStr">
        <is>
          <t>Finance</t>
        </is>
      </c>
      <c r="E110" s="7" t="inlineStr">
        <is>
          <t>Capital Markets</t>
        </is>
      </c>
      <c r="F110" s="8" t="n">
        <v>41.96410019794966</v>
      </c>
      <c r="G110" s="5" t="inlineStr">
        <is>
          <t>USD</t>
        </is>
      </c>
      <c r="H110" s="7" t="inlineStr">
        <is>
          <t>2025-09-30 / 2025-12-31 / 2026-03-31 / 2026-06-30</t>
        </is>
      </c>
      <c r="I110" s="8" t="n">
        <v>2704</v>
      </c>
      <c r="J110" s="8" t="n">
        <v>2739</v>
      </c>
      <c r="K110" s="8" t="n">
        <v>2646</v>
      </c>
      <c r="L110" s="8" t="n">
        <v>2996</v>
      </c>
      <c r="M110" s="9" t="n">
        <v>21.34467395706763</v>
      </c>
      <c r="N110" s="8" t="n">
        <v>1974.19511</v>
      </c>
      <c r="O110" s="10" t="inlineStr">
        <is>
          <t>淨利 +$263.0M
經常 +$2.36B
一次: 無重大</t>
        </is>
      </c>
      <c r="P110" s="10" t="inlineStr">
        <is>
          <t>淨利 +$284.0M
經常 +$2.40B
一次: 無重大</t>
        </is>
      </c>
      <c r="Q110" s="10" t="inlineStr">
        <is>
          <t>淨利 +$267.0M
經常 +$2.27B
一次: 無重大</t>
        </is>
      </c>
      <c r="R110" s="10" t="inlineStr">
        <is>
          <t>淨利 +$312.0M
經常 +$2.57B
一次: 無重大</t>
        </is>
      </c>
      <c r="S110" s="11" t="n">
        <v>0.73263</v>
      </c>
      <c r="T110" s="9" t="n">
        <v>85.64753004005341</v>
      </c>
      <c r="U110" s="9" t="n">
        <v>10.41388518024032</v>
      </c>
      <c r="V110" s="9" t="n">
        <v>89.18558077436583</v>
      </c>
      <c r="W110" s="10" t="inlineStr">
        <is>
          <t>無重大</t>
        </is>
      </c>
      <c r="X110" s="10" t="inlineStr">
        <is>
          <t>四季皆正：+2,359 → +2,397 → +2,266 → +2,566（百萬）</t>
        </is>
      </c>
      <c r="Y110" s="10" t="inlineStr">
        <is>
          <t>四季營運皆正、最新季淨利為正 — 經常性已盈利</t>
        </is>
      </c>
      <c r="Z110" s="12" t="inlineStr">
        <is>
          <t>A</t>
        </is>
      </c>
      <c r="AA110" s="7" t="inlineStr">
        <is>
          <t>2026-06-30 / 2026-10-20</t>
        </is>
      </c>
    </row>
    <row r="111" ht="46" customHeight="1">
      <c r="A111" s="5" t="n">
        <v>110</v>
      </c>
      <c r="B111" s="6" t="inlineStr">
        <is>
          <t>MCHP</t>
        </is>
      </c>
      <c r="C111" s="7" t="inlineStr">
        <is>
          <t>Microchip Technology Incorporated</t>
        </is>
      </c>
      <c r="D111" s="7" t="inlineStr">
        <is>
          <t>Technology</t>
        </is>
      </c>
      <c r="E111" s="7" t="inlineStr">
        <is>
          <t>Semiconductors</t>
        </is>
      </c>
      <c r="F111" s="8" t="n">
        <v>40.27495461143015</v>
      </c>
      <c r="G111" s="5" t="inlineStr">
        <is>
          <t>USD</t>
        </is>
      </c>
      <c r="H111" s="7" t="inlineStr">
        <is>
          <t>2025-09-30 / 2025-12-31 / 2026-03-31 / 2026-06-30</t>
        </is>
      </c>
      <c r="I111" s="8" t="n">
        <v>1140.4</v>
      </c>
      <c r="J111" s="8" t="n">
        <v>1186</v>
      </c>
      <c r="K111" s="8" t="n">
        <v>1311.2</v>
      </c>
      <c r="L111" s="8" t="n">
        <v>1484.7</v>
      </c>
      <c r="M111" s="9" t="n">
        <v>38.04741980474198</v>
      </c>
      <c r="N111" s="8" t="n">
        <v>1621.98631</v>
      </c>
      <c r="O111" s="10" t="inlineStr">
        <is>
          <t>淨利 +$13.9M
經常 +$95.2M
一次: 無重大</t>
        </is>
      </c>
      <c r="P111" s="10" t="inlineStr">
        <is>
          <t>淨利 +$34.9M
經常 +$156.5M
一次: 無重大</t>
        </is>
      </c>
      <c r="Q111" s="10" t="inlineStr">
        <is>
          <t>淨利 +$116.4M
經常 +$223.8M
一次: 無重大</t>
        </is>
      </c>
      <c r="R111" s="10" t="inlineStr">
        <is>
          <t>淨利 +$202.0M
經常 +$355.7M
一次: -$15.0M（營收 1%）</t>
        </is>
      </c>
      <c r="S111" s="11" t="n">
        <v>0.94018</v>
      </c>
      <c r="T111" s="9" t="n">
        <v>23.95770189263824</v>
      </c>
      <c r="U111" s="9" t="n">
        <v>13.60544217687075</v>
      </c>
      <c r="V111" s="9" t="n">
        <v>63.2383646527918</v>
      </c>
      <c r="W111" s="10" t="inlineStr">
        <is>
          <t>-$15.0M・營收 1.0%</t>
        </is>
      </c>
      <c r="X111" s="10" t="inlineStr">
        <is>
          <t>四季皆正：+95 → +156 → +224 → +356（百萬）</t>
        </is>
      </c>
      <c r="Y111" s="10" t="inlineStr">
        <is>
          <t>四季營運皆正、最新季淨利為正 — 經常性已盈利</t>
        </is>
      </c>
      <c r="Z111" s="12" t="inlineStr">
        <is>
          <t>A</t>
        </is>
      </c>
      <c r="AA111" s="7" t="inlineStr">
        <is>
          <t>2026-06-30 / 2026-11-05</t>
        </is>
      </c>
    </row>
    <row r="112" ht="46" customHeight="1">
      <c r="A112" s="5" t="n">
        <v>111</v>
      </c>
      <c r="B112" s="6" t="inlineStr">
        <is>
          <t>RPRX</t>
        </is>
      </c>
      <c r="C112" s="7" t="inlineStr">
        <is>
          <t>Royalty Pharma plc</t>
        </is>
      </c>
      <c r="D112" s="7" t="inlineStr">
        <is>
          <t>Health Care</t>
        </is>
      </c>
      <c r="E112" s="7" t="inlineStr">
        <is>
          <t>Biotechnology</t>
        </is>
      </c>
      <c r="F112" s="8" t="n">
        <v>36.77707700776008</v>
      </c>
      <c r="G112" s="5" t="inlineStr">
        <is>
          <t>USD</t>
        </is>
      </c>
      <c r="H112" s="7" t="inlineStr">
        <is>
          <t>2025-09-30 / 2025-12-31 / 2026-03-31 / 2026-06-30</t>
        </is>
      </c>
      <c r="I112" s="8" t="n">
        <v>609.2910000000001</v>
      </c>
      <c r="J112" s="8" t="n">
        <v>621.99</v>
      </c>
      <c r="K112" s="8" t="n">
        <v>630.576</v>
      </c>
      <c r="L112" s="8" t="n">
        <v>674.141</v>
      </c>
      <c r="M112" s="9" t="n">
        <v>16.49935627694781</v>
      </c>
      <c r="N112" s="8" t="n">
        <v>935.60475</v>
      </c>
      <c r="O112" s="10" t="inlineStr">
        <is>
          <t>淨利 +$288.2M
經常 +$427.2M
一次: +$75.3M（營收 12%）</t>
        </is>
      </c>
      <c r="P112" s="10" t="inlineStr">
        <is>
          <t>淨利 +$214.2M
經常 +$388.4M
一次: +$58.8M（營收 9%）</t>
        </is>
      </c>
      <c r="Q112" s="10" t="inlineStr">
        <is>
          <t>淨利 +$294.7M
經常 +$632.5M
一次: -$96.3M（營收 15%）</t>
        </is>
      </c>
      <c r="R112" s="10" t="inlineStr">
        <is>
          <t>淨利 +$17.9M
經常 +$133.1M
一次: +$34.3M（營收 5%）</t>
        </is>
      </c>
      <c r="S112" s="11" t="n">
        <v>1.54161</v>
      </c>
      <c r="T112" s="9" t="n">
        <v>19.74646253528565</v>
      </c>
      <c r="U112" s="9" t="n">
        <v>2.652709151349644</v>
      </c>
      <c r="V112" s="9" t="n"/>
      <c r="W112" s="10" t="inlineStr">
        <is>
          <t>+$34.3M・營收 5.1%</t>
        </is>
      </c>
      <c r="X112" s="10" t="inlineStr">
        <is>
          <t>四季皆正：+427 → +388 → +632 → +133（百萬）</t>
        </is>
      </c>
      <c r="Y112" s="10" t="inlineStr">
        <is>
          <t>四季營運皆正、最新季淨利為正 — 經常性已盈利</t>
        </is>
      </c>
      <c r="Z112" s="12" t="inlineStr">
        <is>
          <t>A</t>
        </is>
      </c>
      <c r="AA112" s="7" t="inlineStr">
        <is>
          <t>2026-06-30 / 2026-11-04</t>
        </is>
      </c>
    </row>
    <row r="113" ht="46" customHeight="1">
      <c r="A113" s="5" t="n">
        <v>112</v>
      </c>
      <c r="B113" s="6" t="inlineStr">
        <is>
          <t>CLS</t>
        </is>
      </c>
      <c r="C113" s="7" t="inlineStr">
        <is>
          <t>Celestica Inc.</t>
        </is>
      </c>
      <c r="D113" s="7" t="inlineStr">
        <is>
          <t>Technology</t>
        </is>
      </c>
      <c r="E113" s="7" t="inlineStr">
        <is>
          <t>Electronic Components</t>
        </is>
      </c>
      <c r="F113" s="8" t="n">
        <v>35.91184997109582</v>
      </c>
      <c r="G113" s="5" t="inlineStr">
        <is>
          <t>USD</t>
        </is>
      </c>
      <c r="H113" s="7" t="inlineStr">
        <is>
          <t>2025-09-30 / 2025-12-31 / 2026-03-31 / 2026-06-30</t>
        </is>
      </c>
      <c r="I113" s="8" t="n">
        <v>3194</v>
      </c>
      <c r="J113" s="8" t="n">
        <v>3654.9</v>
      </c>
      <c r="K113" s="8" t="n">
        <v>4047</v>
      </c>
      <c r="L113" s="8" t="n">
        <v>4698.6</v>
      </c>
      <c r="M113" s="9" t="n">
        <v>62.39026750535703</v>
      </c>
      <c r="N113" s="8" t="n">
        <v>6379.0202</v>
      </c>
      <c r="O113" s="10" t="inlineStr">
        <is>
          <t>淨利 +$267.8M
經常 +$329.9M
一次: 無重大</t>
        </is>
      </c>
      <c r="P113" s="10" t="inlineStr">
        <is>
          <t>淨利 +$267.5M
經常 +$320.8M
一次: 無重大</t>
        </is>
      </c>
      <c r="Q113" s="10" t="inlineStr">
        <is>
          <t>淨利 +$212.3M
經常 +$267.7M
一次: 無重大</t>
        </is>
      </c>
      <c r="R113" s="10" t="inlineStr">
        <is>
          <t>淨利 +$368.8M
經常 +$461.2M
一次: 無重大</t>
        </is>
      </c>
      <c r="S113" s="11" t="n">
        <v>3.56868</v>
      </c>
      <c r="T113" s="9" t="n">
        <v>9.815689779934447</v>
      </c>
      <c r="U113" s="9" t="n">
        <v>7.849146554292767</v>
      </c>
      <c r="V113" s="9" t="n">
        <v>12.2908951602605</v>
      </c>
      <c r="W113" s="10" t="inlineStr">
        <is>
          <t>無重大</t>
        </is>
      </c>
      <c r="X113" s="10" t="inlineStr">
        <is>
          <t>四季皆正：+330 → +321 → +268 → +461（百萬）</t>
        </is>
      </c>
      <c r="Y113" s="10" t="inlineStr">
        <is>
          <t>四季營運皆正、最新季淨利為正 — 經常性已盈利</t>
        </is>
      </c>
      <c r="Z113" s="12" t="inlineStr">
        <is>
          <t>A</t>
        </is>
      </c>
      <c r="AA113" s="7" t="inlineStr">
        <is>
          <t>2026-06-30 / 2026-10-26</t>
        </is>
      </c>
    </row>
    <row r="114" ht="46" customHeight="1">
      <c r="A114" s="5" t="n">
        <v>113</v>
      </c>
      <c r="B114" s="6" t="inlineStr">
        <is>
          <t>JBL</t>
        </is>
      </c>
      <c r="C114" s="7" t="inlineStr">
        <is>
          <t>Jabil Inc.</t>
        </is>
      </c>
      <c r="D114" s="7" t="inlineStr">
        <is>
          <t>Technology</t>
        </is>
      </c>
      <c r="E114" s="7" t="inlineStr">
        <is>
          <t>Electronic Components</t>
        </is>
      </c>
      <c r="F114" s="8" t="n">
        <v>32.54372623038509</v>
      </c>
      <c r="G114" s="5" t="inlineStr">
        <is>
          <t>USD</t>
        </is>
      </c>
      <c r="H114" s="7" t="inlineStr">
        <is>
          <t>2025-08-31 / 2025-11-30 / 2026-02-28 / 2026-05-31</t>
        </is>
      </c>
      <c r="I114" s="8" t="n">
        <v>8252</v>
      </c>
      <c r="J114" s="8" t="n">
        <v>8305</v>
      </c>
      <c r="K114" s="8" t="n">
        <v>8282</v>
      </c>
      <c r="L114" s="8" t="n">
        <v>8751</v>
      </c>
      <c r="M114" s="9" t="n">
        <v>11.79100664282064</v>
      </c>
      <c r="N114" s="8" t="n">
        <v>10055.98487</v>
      </c>
      <c r="O114" s="10" t="inlineStr">
        <is>
          <t>淨利 +$218.0M
經常 +$475.0M
一次: -$107.8M（營收 1%）</t>
        </is>
      </c>
      <c r="P114" s="10" t="inlineStr">
        <is>
          <t>淨利 +$146.0M
經常 +$372.0M
一次: 無重大</t>
        </is>
      </c>
      <c r="Q114" s="10" t="inlineStr">
        <is>
          <t>淨利 +$223.0M
經常 +$387.0M
一次: 無重大</t>
        </is>
      </c>
      <c r="R114" s="10" t="inlineStr">
        <is>
          <t>淨利 +$275.0M
經常 +$456.0M
一次: 無重大</t>
        </is>
      </c>
      <c r="S114" s="11" t="n">
        <v>3.62279</v>
      </c>
      <c r="T114" s="9" t="n">
        <v>5.210833047651697</v>
      </c>
      <c r="U114" s="9" t="n">
        <v>3.142498000228545</v>
      </c>
      <c r="V114" s="9" t="n">
        <v>9.461775797051764</v>
      </c>
      <c r="W114" s="10" t="inlineStr">
        <is>
          <t>無重大</t>
        </is>
      </c>
      <c r="X114" s="10" t="inlineStr">
        <is>
          <t>四季皆正：+475 → +372 → +387 → +456（百萬）</t>
        </is>
      </c>
      <c r="Y114" s="10" t="inlineStr">
        <is>
          <t>四季營運皆正、最新季淨利為正 — 經常性已盈利</t>
        </is>
      </c>
      <c r="Z114" s="12" t="inlineStr">
        <is>
          <t>A</t>
        </is>
      </c>
      <c r="AA114" s="7" t="inlineStr">
        <is>
          <t>2026-05-31 / 2026-09-24</t>
        </is>
      </c>
    </row>
    <row r="115" ht="46" customHeight="1">
      <c r="A115" s="5" t="n">
        <v>114</v>
      </c>
      <c r="B115" s="6" t="inlineStr">
        <is>
          <t>CRDO</t>
        </is>
      </c>
      <c r="C115" s="7" t="inlineStr">
        <is>
          <t>Credo Technology Group Holding Ltd</t>
        </is>
      </c>
      <c r="D115" s="7" t="inlineStr">
        <is>
          <t>Technology</t>
        </is>
      </c>
      <c r="E115" s="7" t="inlineStr">
        <is>
          <t>Semiconductors</t>
        </is>
      </c>
      <c r="F115" s="8" t="n">
        <v>32.05895865334006</v>
      </c>
      <c r="G115" s="5" t="inlineStr">
        <is>
          <t>USD</t>
        </is>
      </c>
      <c r="H115" s="7" t="inlineStr">
        <is>
          <t>2025-07-31 / 2025-10-31 / 2026-01-31 / 2026-04-30</t>
        </is>
      </c>
      <c r="I115" s="8" t="n">
        <v>223.074</v>
      </c>
      <c r="J115" s="8" t="n">
        <v>268.027</v>
      </c>
      <c r="K115" s="8" t="n">
        <v>407.012</v>
      </c>
      <c r="L115" s="8" t="n">
        <v>437.003</v>
      </c>
      <c r="M115" s="9" t="n">
        <v>157.0227907660638</v>
      </c>
      <c r="N115" s="8" t="n">
        <v>638.75488</v>
      </c>
      <c r="O115" s="10" t="inlineStr">
        <is>
          <t>淨利 +$63.4M
經常 +$60.7M
一次: 無重大</t>
        </is>
      </c>
      <c r="P115" s="10" t="inlineStr">
        <is>
          <t>淨利 +$82.6M
經常 +$78.8M
一次: 無重大</t>
        </is>
      </c>
      <c r="Q115" s="10" t="inlineStr">
        <is>
          <t>淨利 +$157.1M
經常 +$149.6M
一次: 無重大</t>
        </is>
      </c>
      <c r="R115" s="10" t="inlineStr">
        <is>
          <t>淨利 +$169.1M
經常 +$155.8M
一次: 無重大</t>
        </is>
      </c>
      <c r="S115" s="11" t="n">
        <v>1.59273</v>
      </c>
      <c r="T115" s="9" t="n">
        <v>35.6622265751036</v>
      </c>
      <c r="U115" s="9" t="n">
        <v>38.69584419328929</v>
      </c>
      <c r="V115" s="9" t="n">
        <v>68.2070832465681</v>
      </c>
      <c r="W115" s="10" t="inlineStr">
        <is>
          <t>無重大</t>
        </is>
      </c>
      <c r="X115" s="10" t="inlineStr">
        <is>
          <t>四季皆正：+61 → +79 → +150 → +156（百萬）</t>
        </is>
      </c>
      <c r="Y115" s="10" t="inlineStr">
        <is>
          <t>四季營運皆正、最新季淨利為正 — 經常性已盈利</t>
        </is>
      </c>
      <c r="Z115" s="12" t="inlineStr">
        <is>
          <t>A</t>
        </is>
      </c>
      <c r="AA115" s="7" t="inlineStr">
        <is>
          <t>2026-04-30 / 2026-11-30</t>
        </is>
      </c>
    </row>
    <row r="116" ht="46" customHeight="1">
      <c r="A116" s="5" t="n">
        <v>115</v>
      </c>
      <c r="B116" s="6" t="inlineStr">
        <is>
          <t>FTI</t>
        </is>
      </c>
      <c r="C116" s="7" t="inlineStr">
        <is>
          <t>TechnipFMC plc</t>
        </is>
      </c>
      <c r="D116" s="7" t="inlineStr">
        <is>
          <t>Consumer Discretionary</t>
        </is>
      </c>
      <c r="E116" s="7" t="inlineStr">
        <is>
          <t>Oil &amp; Gas Equipment &amp; Services</t>
        </is>
      </c>
      <c r="F116" s="8" t="n">
        <v>31.31040473759615</v>
      </c>
      <c r="G116" s="5" t="inlineStr">
        <is>
          <t>USD</t>
        </is>
      </c>
      <c r="H116" s="7" t="inlineStr">
        <is>
          <t>2025-09-30 / 2025-12-31 / 2026-03-31 / 2026-06-30</t>
        </is>
      </c>
      <c r="I116" s="8" t="n">
        <v>2647.3</v>
      </c>
      <c r="J116" s="8" t="n">
        <v>2517</v>
      </c>
      <c r="K116" s="8" t="n">
        <v>2492.7</v>
      </c>
      <c r="L116" s="8" t="n">
        <v>2763.1</v>
      </c>
      <c r="M116" s="9" t="n">
        <v>9.010928314987975</v>
      </c>
      <c r="N116" s="8" t="n">
        <v>2697.43617</v>
      </c>
      <c r="O116" s="10" t="inlineStr">
        <is>
          <t>淨利 +$309.7M
經常 +$408.1M
一次: 無重大</t>
        </is>
      </c>
      <c r="P116" s="10" t="inlineStr">
        <is>
          <t>淨利 +$242.7M
經常 +$317.3M
一次: -$45.9M（營收 2%）</t>
        </is>
      </c>
      <c r="Q116" s="10" t="inlineStr">
        <is>
          <t>淨利 +$260.5M
經常 +$351.6M
一次: 無重大</t>
        </is>
      </c>
      <c r="R116" s="10" t="inlineStr">
        <is>
          <t>淨利 +$362.7M
經常 +$489.7M
一次: 無重大</t>
        </is>
      </c>
      <c r="S116" s="11" t="n">
        <v>0.77707</v>
      </c>
      <c r="T116" s="9" t="n">
        <v>17.72284752632913</v>
      </c>
      <c r="U116" s="9" t="n">
        <v>13.12656074698708</v>
      </c>
      <c r="V116" s="9" t="n">
        <v>24.78013825051573</v>
      </c>
      <c r="W116" s="10" t="inlineStr">
        <is>
          <t>無重大</t>
        </is>
      </c>
      <c r="X116" s="10" t="inlineStr">
        <is>
          <t>四季皆正：+408 → +317 → +352 → +490（百萬）</t>
        </is>
      </c>
      <c r="Y116" s="10" t="inlineStr">
        <is>
          <t>四季營運皆正、最新季淨利為正 — 經常性已盈利</t>
        </is>
      </c>
      <c r="Z116" s="12" t="inlineStr">
        <is>
          <t>A</t>
        </is>
      </c>
      <c r="AA116" s="7" t="inlineStr">
        <is>
          <t>2026-06-30 / 2026-10-22</t>
        </is>
      </c>
    </row>
    <row r="117" ht="46" customHeight="1">
      <c r="A117" s="5" t="n">
        <v>116</v>
      </c>
      <c r="B117" s="6" t="inlineStr">
        <is>
          <t>RDDT</t>
        </is>
      </c>
      <c r="C117" s="7" t="inlineStr">
        <is>
          <t>Reddit, Inc.</t>
        </is>
      </c>
      <c r="D117" s="7" t="inlineStr">
        <is>
          <t>Technology</t>
        </is>
      </c>
      <c r="E117" s="7" t="inlineStr">
        <is>
          <t>Internet Content &amp; Information</t>
        </is>
      </c>
      <c r="F117" s="8" t="n">
        <v>29.71756493469934</v>
      </c>
      <c r="G117" s="5" t="inlineStr">
        <is>
          <t>USD</t>
        </is>
      </c>
      <c r="H117" s="7" t="inlineStr">
        <is>
          <t>2025-09-30 / 2025-12-31 / 2026-03-31 / 2026-06-30</t>
        </is>
      </c>
      <c r="I117" s="8" t="n">
        <v>584.9109999999999</v>
      </c>
      <c r="J117" s="8" t="n">
        <v>725.607</v>
      </c>
      <c r="K117" s="8" t="n">
        <v>663.4109999999999</v>
      </c>
      <c r="L117" s="8" t="n">
        <v>804.905</v>
      </c>
      <c r="M117" s="9" t="n">
        <v>61.1011814813851</v>
      </c>
      <c r="N117" s="8" t="n">
        <v>1039.06124</v>
      </c>
      <c r="O117" s="10" t="inlineStr">
        <is>
          <t>淨利 +$162.7M
經常 +$138.5M
一次: 無重大</t>
        </is>
      </c>
      <c r="P117" s="10" t="inlineStr">
        <is>
          <t>淨利 +$251.6M
經常 +$231.8M
一次: 無重大</t>
        </is>
      </c>
      <c r="Q117" s="10" t="inlineStr">
        <is>
          <t>淨利 +$204.0M
經常 +$182.9M
一次: 無重大</t>
        </is>
      </c>
      <c r="R117" s="10" t="inlineStr">
        <is>
          <t>淨利 +$252.8M
經常 +$231.7M
一次: 無重大</t>
        </is>
      </c>
      <c r="S117" s="11" t="n">
        <v>1.81506</v>
      </c>
      <c r="T117" s="9" t="n">
        <v>28.78799361415322</v>
      </c>
      <c r="U117" s="9" t="n">
        <v>31.41339661202254</v>
      </c>
      <c r="V117" s="9" t="n">
        <v>91.26505612463582</v>
      </c>
      <c r="W117" s="10" t="inlineStr">
        <is>
          <t>無重大</t>
        </is>
      </c>
      <c r="X117" s="10" t="inlineStr">
        <is>
          <t>四季皆正：+139 → +232 → +183 → +232（百萬）</t>
        </is>
      </c>
      <c r="Y117" s="10" t="inlineStr">
        <is>
          <t>四季營運皆正、最新季淨利為正 — 經常性已盈利</t>
        </is>
      </c>
      <c r="Z117" s="12" t="inlineStr">
        <is>
          <t>A</t>
        </is>
      </c>
      <c r="AA117" s="7" t="inlineStr">
        <is>
          <t>2026-06-30 / 2026-10-29</t>
        </is>
      </c>
    </row>
    <row r="118" ht="46" customHeight="1">
      <c r="A118" s="5" t="n">
        <v>117</v>
      </c>
      <c r="B118" s="6" t="inlineStr">
        <is>
          <t>ATI</t>
        </is>
      </c>
      <c r="C118" s="7" t="inlineStr">
        <is>
          <t>ATI Inc.</t>
        </is>
      </c>
      <c r="D118" s="7" t="inlineStr">
        <is>
          <t>Industrials</t>
        </is>
      </c>
      <c r="E118" s="7" t="inlineStr">
        <is>
          <t>Metal Fabrication</t>
        </is>
      </c>
      <c r="F118" s="8" t="n">
        <v>28.68429117871908</v>
      </c>
      <c r="G118" s="5" t="inlineStr">
        <is>
          <t>USD</t>
        </is>
      </c>
      <c r="H118" s="7" t="inlineStr">
        <is>
          <t>2025-09-30 / 2025-12-31 / 2026-03-31 / 2026-06-30</t>
        </is>
      </c>
      <c r="I118" s="8" t="n">
        <v>1125.5</v>
      </c>
      <c r="J118" s="8" t="n">
        <v>1177.1</v>
      </c>
      <c r="K118" s="8" t="n">
        <v>1151.5</v>
      </c>
      <c r="L118" s="8" t="n">
        <v>1261.1</v>
      </c>
      <c r="M118" s="9" t="n">
        <v>10.58400561206592</v>
      </c>
      <c r="N118" s="8" t="n">
        <v>1407.37933</v>
      </c>
      <c r="O118" s="10" t="inlineStr">
        <is>
          <t>淨利 +$110.0M
經常 +$160.7M
一次: 無重大</t>
        </is>
      </c>
      <c r="P118" s="10" t="inlineStr">
        <is>
          <t>淨利 +$96.6M
經常 +$170.7M
一次: 無重大</t>
        </is>
      </c>
      <c r="Q118" s="10" t="inlineStr">
        <is>
          <t>淨利 +$118.2M
經常 +$170.8M
一次: 無重大</t>
        </is>
      </c>
      <c r="R118" s="10" t="inlineStr">
        <is>
          <t>淨利 +$151.0M
經常 +$214.1M
一次: 無重大</t>
        </is>
      </c>
      <c r="S118" s="11" t="n">
        <v>1.52272</v>
      </c>
      <c r="T118" s="9" t="n">
        <v>16.97724209023868</v>
      </c>
      <c r="U118" s="9" t="n">
        <v>11.97367377686147</v>
      </c>
      <c r="V118" s="9" t="n">
        <v>24.56585520577274</v>
      </c>
      <c r="W118" s="10" t="inlineStr">
        <is>
          <t>無重大</t>
        </is>
      </c>
      <c r="X118" s="10" t="inlineStr">
        <is>
          <t>四季皆正：+161 → +171 → +171 → +214（百萬）</t>
        </is>
      </c>
      <c r="Y118" s="10" t="inlineStr">
        <is>
          <t>四季營運皆正、最新季淨利為正 — 經常性已盈利</t>
        </is>
      </c>
      <c r="Z118" s="12" t="inlineStr">
        <is>
          <t>A</t>
        </is>
      </c>
      <c r="AA118" s="7" t="inlineStr">
        <is>
          <t>2026-06-30 / 2026-10-27</t>
        </is>
      </c>
    </row>
    <row r="119" ht="46" customHeight="1">
      <c r="A119" s="5" t="n">
        <v>118</v>
      </c>
      <c r="B119" s="6" t="inlineStr">
        <is>
          <t>LH</t>
        </is>
      </c>
      <c r="C119" s="7" t="inlineStr">
        <is>
          <t>Labcorp Holdings Inc.</t>
        </is>
      </c>
      <c r="D119" s="7" t="inlineStr">
        <is>
          <t>Health Care</t>
        </is>
      </c>
      <c r="E119" s="7" t="inlineStr">
        <is>
          <t>Diagnostics &amp; Research</t>
        </is>
      </c>
      <c r="F119" s="8" t="n">
        <v>26.510779</v>
      </c>
      <c r="G119" s="5" t="inlineStr">
        <is>
          <t>USD</t>
        </is>
      </c>
      <c r="H119" s="7" t="inlineStr">
        <is>
          <t>2025-09-30 / 2025-12-31 / 2026-03-31 / 2026-06-30</t>
        </is>
      </c>
      <c r="I119" s="8" t="n">
        <v>3563.5</v>
      </c>
      <c r="J119" s="8" t="n">
        <v>3515.8</v>
      </c>
      <c r="K119" s="8" t="n">
        <v>3537.6</v>
      </c>
      <c r="L119" s="8" t="n">
        <v>3731.1</v>
      </c>
      <c r="M119" s="9" t="n">
        <v>5.777790377909442</v>
      </c>
      <c r="N119" s="8" t="n">
        <v>3721.82969</v>
      </c>
      <c r="O119" s="10" t="inlineStr">
        <is>
          <t>淨利 +$261.1M
經常 +$403.2M
一次: 無重大</t>
        </is>
      </c>
      <c r="P119" s="10" t="inlineStr">
        <is>
          <t>淨利 +$164.7M
經常 +$382.0M
一次: -$95.9M（營收 3%）</t>
        </is>
      </c>
      <c r="Q119" s="10" t="inlineStr">
        <is>
          <t>淨利 +$277.8M
經常 +$387.2M
一次: 無重大</t>
        </is>
      </c>
      <c r="R119" s="10" t="inlineStr">
        <is>
          <t>淨利 +$298.7M
經常 +$456.7M
一次: 無重大</t>
        </is>
      </c>
      <c r="S119" s="11" t="n">
        <v>4.44994</v>
      </c>
      <c r="T119" s="9" t="n">
        <v>12.24035807134625</v>
      </c>
      <c r="U119" s="9" t="n">
        <v>8.005681970464474</v>
      </c>
      <c r="V119" s="9" t="n">
        <v>29.80354319101606</v>
      </c>
      <c r="W119" s="10" t="inlineStr">
        <is>
          <t>無重大</t>
        </is>
      </c>
      <c r="X119" s="10" t="inlineStr">
        <is>
          <t>四季皆正：+403 → +382 → +387 → +457（百萬）</t>
        </is>
      </c>
      <c r="Y119" s="10" t="inlineStr">
        <is>
          <t>四季營運皆正、最新季淨利為正 — 經常性已盈利</t>
        </is>
      </c>
      <c r="Z119" s="12" t="inlineStr">
        <is>
          <t>A</t>
        </is>
      </c>
      <c r="AA119" s="7" t="inlineStr">
        <is>
          <t>2026-06-30 / 2026-11-03</t>
        </is>
      </c>
    </row>
    <row r="120" ht="46" customHeight="1">
      <c r="A120" s="5" t="n">
        <v>119</v>
      </c>
      <c r="B120" s="6" t="inlineStr">
        <is>
          <t>SMCI</t>
        </is>
      </c>
      <c r="C120" s="7" t="inlineStr">
        <is>
          <t>Super Micro Computer, Inc.</t>
        </is>
      </c>
      <c r="D120" s="7" t="inlineStr">
        <is>
          <t>Technology</t>
        </is>
      </c>
      <c r="E120" s="7" t="inlineStr">
        <is>
          <t>Computer Hardware</t>
        </is>
      </c>
      <c r="F120" s="8" t="n">
        <v>26.00925955272238</v>
      </c>
      <c r="G120" s="5" t="inlineStr">
        <is>
          <t>USD</t>
        </is>
      </c>
      <c r="H120" s="7" t="inlineStr">
        <is>
          <t>2025-09-30 / 2025-12-31 / 2026-03-31 / 2026-06-30</t>
        </is>
      </c>
      <c r="I120" s="8" t="n">
        <v>5017.79</v>
      </c>
      <c r="J120" s="8" t="n">
        <v>12682.491</v>
      </c>
      <c r="K120" s="8" t="n">
        <v>10243.014</v>
      </c>
      <c r="L120" s="8" t="n">
        <v>11119.777</v>
      </c>
      <c r="M120" s="9" t="n">
        <v>93.1552702482286</v>
      </c>
      <c r="N120" s="8" t="n">
        <v>16289.78026</v>
      </c>
      <c r="O120" s="10" t="inlineStr">
        <is>
          <t>淨利 +$168.3M
經常 +$182.3M
一次: 無重大</t>
        </is>
      </c>
      <c r="P120" s="10" t="inlineStr">
        <is>
          <t>淨利 +$400.6M
經常 +$474.3M
一次: 無重大</t>
        </is>
      </c>
      <c r="Q120" s="10" t="inlineStr">
        <is>
          <t>淨利 +$483.4M
經常 +$625.9M
一次: 無重大</t>
        </is>
      </c>
      <c r="R120" s="10" t="inlineStr">
        <is>
          <t>淨利 +$1.14B
經常 +$1.49B
一次: 無重大</t>
        </is>
      </c>
      <c r="S120" s="11" t="n">
        <v>1.04263</v>
      </c>
      <c r="T120" s="9" t="n">
        <v>13.38213886843234</v>
      </c>
      <c r="U120" s="9" t="n">
        <v>10.28443286227772</v>
      </c>
      <c r="V120" s="9" t="n">
        <v>17.47005358111048</v>
      </c>
      <c r="W120" s="10" t="inlineStr">
        <is>
          <t>無重大</t>
        </is>
      </c>
      <c r="X120" s="10" t="inlineStr">
        <is>
          <t>四季皆正：+182 → +474 → +626 → +1,488（百萬）</t>
        </is>
      </c>
      <c r="Y120" s="10" t="inlineStr">
        <is>
          <t>四季營運皆正、最新季淨利為正 — 經常性已盈利</t>
        </is>
      </c>
      <c r="Z120" s="12" t="inlineStr">
        <is>
          <t>A</t>
        </is>
      </c>
      <c r="AA120" s="7" t="inlineStr">
        <is>
          <t>2026-06-30 / 2026-11-03</t>
        </is>
      </c>
    </row>
    <row r="121" ht="46" customHeight="1">
      <c r="A121" s="5" t="n">
        <v>120</v>
      </c>
      <c r="B121" s="6" t="inlineStr">
        <is>
          <t>EXPD</t>
        </is>
      </c>
      <c r="C121" s="7" t="inlineStr">
        <is>
          <t>Expeditors International of Washington, Inc.</t>
        </is>
      </c>
      <c r="D121" s="7" t="inlineStr">
        <is>
          <t>Industrials</t>
        </is>
      </c>
      <c r="E121" s="7" t="inlineStr">
        <is>
          <t>Integrated Freight &amp; Logistics</t>
        </is>
      </c>
      <c r="F121" s="8" t="n">
        <v>24.54222943390072</v>
      </c>
      <c r="G121" s="5" t="inlineStr">
        <is>
          <t>USD</t>
        </is>
      </c>
      <c r="H121" s="7" t="inlineStr">
        <is>
          <t>2025-09-30 / 2025-12-31 / 2026-03-31 / 2026-06-30</t>
        </is>
      </c>
      <c r="I121" s="8" t="n">
        <v>2894.751</v>
      </c>
      <c r="J121" s="8" t="n">
        <v>2855.954</v>
      </c>
      <c r="K121" s="8" t="n">
        <v>2782.962</v>
      </c>
      <c r="L121" s="8" t="n">
        <v>3502.335</v>
      </c>
      <c r="M121" s="9" t="n">
        <v>32.06964102892847</v>
      </c>
      <c r="N121" s="8" t="n">
        <v>3274.58115</v>
      </c>
      <c r="O121" s="10" t="inlineStr">
        <is>
          <t>淨利 +$222.3M
經常 +$288.0M
一次: 無重大</t>
        </is>
      </c>
      <c r="P121" s="10" t="inlineStr">
        <is>
          <t>淨利 +$200.7M
經常 +$250.9M
一次: 無重大</t>
        </is>
      </c>
      <c r="Q121" s="10" t="inlineStr">
        <is>
          <t>淨利 +$229.6M
經常 +$294.8M
一次: 無重大</t>
        </is>
      </c>
      <c r="R121" s="10" t="inlineStr">
        <is>
          <t>淨利 +$266.2M
經常 +$349.6M
一次: 無重大</t>
        </is>
      </c>
      <c r="S121" s="11" t="n">
        <v>1.86402</v>
      </c>
      <c r="T121" s="9" t="n">
        <v>9.982426010076134</v>
      </c>
      <c r="U121" s="9" t="n">
        <v>7.601385932527871</v>
      </c>
      <c r="V121" s="9" t="n">
        <v>12.29676772781587</v>
      </c>
      <c r="W121" s="10" t="inlineStr">
        <is>
          <t>無重大</t>
        </is>
      </c>
      <c r="X121" s="10" t="inlineStr">
        <is>
          <t>四季皆正：+288 → +251 → +295 → +350（百萬）</t>
        </is>
      </c>
      <c r="Y121" s="10" t="inlineStr">
        <is>
          <t>四季營運皆正、最新季淨利為正 — 經常性已盈利</t>
        </is>
      </c>
      <c r="Z121" s="12" t="inlineStr">
        <is>
          <t>A</t>
        </is>
      </c>
      <c r="AA121" s="7" t="inlineStr">
        <is>
          <t>2026-06-30 / 2026-11-03</t>
        </is>
      </c>
    </row>
    <row r="122" ht="46" customHeight="1">
      <c r="A122" s="5" t="n">
        <v>121</v>
      </c>
      <c r="B122" s="6" t="inlineStr">
        <is>
          <t>TPR</t>
        </is>
      </c>
      <c r="C122" s="7" t="inlineStr">
        <is>
          <t>Tapestry, Inc.</t>
        </is>
      </c>
      <c r="D122" s="7" t="inlineStr">
        <is>
          <t>Consumer Discretionary</t>
        </is>
      </c>
      <c r="E122" s="7" t="inlineStr">
        <is>
          <t>Luxury Goods</t>
        </is>
      </c>
      <c r="F122" s="8" t="n">
        <v>24.35369955139341</v>
      </c>
      <c r="G122" s="5" t="inlineStr">
        <is>
          <t>USD</t>
        </is>
      </c>
      <c r="H122" s="7" t="inlineStr">
        <is>
          <t>2025-09-30 / 2025-12-31 / 2026-03-31 / 2026-06-30</t>
        </is>
      </c>
      <c r="I122" s="8" t="n">
        <v>1704.6</v>
      </c>
      <c r="J122" s="8" t="n">
        <v>2502.4</v>
      </c>
      <c r="K122" s="8" t="n">
        <v>1920.6</v>
      </c>
      <c r="L122" s="8" t="n">
        <v>1876.6</v>
      </c>
      <c r="M122" s="9" t="n">
        <v>8.902042711234914</v>
      </c>
      <c r="N122" s="8" t="n">
        <v>2653.12022</v>
      </c>
      <c r="O122" s="10" t="inlineStr">
        <is>
          <t>淨利 +$274.8M
經常 +$328.2M
一次: 無重大</t>
        </is>
      </c>
      <c r="P122" s="10" t="inlineStr">
        <is>
          <t>淨利 +$561.3M
經常 +$716.4M
一次: 無重大</t>
        </is>
      </c>
      <c r="Q122" s="10" t="inlineStr">
        <is>
          <t>淨利 +$343.8M
經常 +$427.5M
一次: 無重大</t>
        </is>
      </c>
      <c r="R122" s="10" t="inlineStr">
        <is>
          <t>淨利 +$347.8M
經常 +$442.3M
一次: 無重大</t>
        </is>
      </c>
      <c r="S122" s="11" t="n">
        <v>3.03607</v>
      </c>
      <c r="T122" s="9" t="n">
        <v>23.56922093147181</v>
      </c>
      <c r="U122" s="9" t="n">
        <v>18.53351806458489</v>
      </c>
      <c r="V122" s="9" t="n">
        <v>83.3208994990941</v>
      </c>
      <c r="W122" s="10" t="inlineStr">
        <is>
          <t>無重大</t>
        </is>
      </c>
      <c r="X122" s="10" t="inlineStr">
        <is>
          <t>四季皆正：+328 → +716 → +428 → +442（百萬）</t>
        </is>
      </c>
      <c r="Y122" s="10" t="inlineStr">
        <is>
          <t>四季營運皆正、最新季淨利為正 — 經常性已盈利</t>
        </is>
      </c>
      <c r="Z122" s="12" t="inlineStr">
        <is>
          <t>A</t>
        </is>
      </c>
      <c r="AA122" s="7" t="inlineStr">
        <is>
          <t>2026-06-30 / 2026-11-05</t>
        </is>
      </c>
    </row>
    <row r="123" ht="46" customHeight="1">
      <c r="A123" s="5" t="n">
        <v>122</v>
      </c>
      <c r="B123" s="6" t="inlineStr">
        <is>
          <t>HUBB</t>
        </is>
      </c>
      <c r="C123" s="7" t="inlineStr">
        <is>
          <t>Hubbell Incorporated</t>
        </is>
      </c>
      <c r="D123" s="7" t="inlineStr">
        <is>
          <t>Technology</t>
        </is>
      </c>
      <c r="E123" s="7" t="inlineStr">
        <is>
          <t>Electrical Equipment &amp; Parts</t>
        </is>
      </c>
      <c r="F123" s="8" t="n">
        <v>24.34102211156295</v>
      </c>
      <c r="G123" s="5" t="inlineStr">
        <is>
          <t>USD</t>
        </is>
      </c>
      <c r="H123" s="7" t="inlineStr">
        <is>
          <t>2025-09-30 / 2025-12-31 / 2026-03-31 / 2026-06-30</t>
        </is>
      </c>
      <c r="I123" s="8" t="n">
        <v>1502.4</v>
      </c>
      <c r="J123" s="8" t="n">
        <v>1492.7</v>
      </c>
      <c r="K123" s="8" t="n">
        <v>1516.7</v>
      </c>
      <c r="L123" s="8" t="n">
        <v>1711.8</v>
      </c>
      <c r="M123" s="9" t="n">
        <v>15.32709021087382</v>
      </c>
      <c r="N123" s="8" t="n">
        <v>1790.49389</v>
      </c>
      <c r="O123" s="10" t="inlineStr">
        <is>
          <t>淨利 +$255.1M
經常 +$330.6M
一次: 無重大</t>
        </is>
      </c>
      <c r="P123" s="10" t="inlineStr">
        <is>
          <t>淨利 +$223.8M
經常 +$311.5M
一次: 無重大</t>
        </is>
      </c>
      <c r="Q123" s="10" t="inlineStr">
        <is>
          <t>淨利 +$181.6M
經常 +$263.8M
一次: 無重大</t>
        </is>
      </c>
      <c r="R123" s="10" t="inlineStr">
        <is>
          <t>淨利 +$240.1M
經常 +$348.6M
一次: 無重大</t>
        </is>
      </c>
      <c r="S123" s="11" t="n">
        <v>5.28482</v>
      </c>
      <c r="T123" s="9" t="n">
        <v>20.36452856642131</v>
      </c>
      <c r="U123" s="9" t="n">
        <v>14.02617128169179</v>
      </c>
      <c r="V123" s="9" t="n">
        <v>35.81025820773455</v>
      </c>
      <c r="W123" s="10" t="inlineStr">
        <is>
          <t>無重大</t>
        </is>
      </c>
      <c r="X123" s="10" t="inlineStr">
        <is>
          <t>四季皆正：+331 → +312 → +264 → +349（百萬）</t>
        </is>
      </c>
      <c r="Y123" s="10" t="inlineStr">
        <is>
          <t>四季營運皆正、最新季淨利為正 — 經常性已盈利</t>
        </is>
      </c>
      <c r="Z123" s="12" t="inlineStr">
        <is>
          <t>A</t>
        </is>
      </c>
      <c r="AA123" s="7" t="inlineStr">
        <is>
          <t>2026-06-30 / 2026-10-27</t>
        </is>
      </c>
    </row>
    <row r="124" ht="46" customHeight="1">
      <c r="A124" s="5" t="n">
        <v>123</v>
      </c>
      <c r="B124" s="6" t="inlineStr">
        <is>
          <t>WST</t>
        </is>
      </c>
      <c r="C124" s="7" t="inlineStr">
        <is>
          <t>West Pharmaceutical Services, Inc.</t>
        </is>
      </c>
      <c r="D124" s="7" t="inlineStr">
        <is>
          <t>Health Care</t>
        </is>
      </c>
      <c r="E124" s="7" t="inlineStr">
        <is>
          <t>Medical Instruments &amp; Supplies</t>
        </is>
      </c>
      <c r="F124" s="8" t="n">
        <v>23.92564780676169</v>
      </c>
      <c r="G124" s="5" t="inlineStr">
        <is>
          <t>USD</t>
        </is>
      </c>
      <c r="H124" s="7" t="inlineStr">
        <is>
          <t>2025-09-30 / 2025-12-31 / 2026-03-31 / 2026-06-30</t>
        </is>
      </c>
      <c r="I124" s="8" t="n">
        <v>804.6</v>
      </c>
      <c r="J124" s="8" t="n">
        <v>805</v>
      </c>
      <c r="K124" s="8" t="n">
        <v>844.9</v>
      </c>
      <c r="L124" s="8" t="n">
        <v>872.3</v>
      </c>
      <c r="M124" s="9" t="n">
        <v>13.80300065231572</v>
      </c>
      <c r="N124" s="8" t="n">
        <v>827.50525</v>
      </c>
      <c r="O124" s="10" t="inlineStr">
        <is>
          <t>淨利 +$140.0M
經常 +$174.5M
一次: 無重大</t>
        </is>
      </c>
      <c r="P124" s="10" t="inlineStr">
        <is>
          <t>淨利 +$132.1M
經常 +$175.1M
一次: -$14.4M（營收 2%）</t>
        </is>
      </c>
      <c r="Q124" s="10" t="inlineStr">
        <is>
          <t>淨利 +$138.8M
經常 +$181.1M
一次: 無重大</t>
        </is>
      </c>
      <c r="R124" s="10" t="inlineStr">
        <is>
          <t>淨利 +$154.0M
經常 +$191.9M
一次: -$10.1M（營收 1%）</t>
        </is>
      </c>
      <c r="S124" s="11" t="n">
        <v>2.27024</v>
      </c>
      <c r="T124" s="9" t="n">
        <v>21.99931216324659</v>
      </c>
      <c r="U124" s="9" t="n">
        <v>17.65447667087011</v>
      </c>
      <c r="V124" s="9" t="n">
        <v>37.73930987045741</v>
      </c>
      <c r="W124" s="10" t="inlineStr">
        <is>
          <t>-$10.1M・營收 1.2%</t>
        </is>
      </c>
      <c r="X124" s="10" t="inlineStr">
        <is>
          <t>四季皆正：+174 → +175 → +181 → +192（百萬）</t>
        </is>
      </c>
      <c r="Y124" s="10" t="inlineStr">
        <is>
          <t>四季營運皆正、最新季淨利為正 — 經常性已盈利</t>
        </is>
      </c>
      <c r="Z124" s="12" t="inlineStr">
        <is>
          <t>A</t>
        </is>
      </c>
      <c r="AA124" s="7" t="inlineStr">
        <is>
          <t>2026-06-30 / 2026-10-22</t>
        </is>
      </c>
    </row>
    <row r="125" ht="46" customHeight="1">
      <c r="A125" s="5" t="n">
        <v>124</v>
      </c>
      <c r="B125" s="6" t="inlineStr">
        <is>
          <t>XPO</t>
        </is>
      </c>
      <c r="C125" s="7" t="inlineStr">
        <is>
          <t>XPO, Inc.</t>
        </is>
      </c>
      <c r="D125" s="7" t="inlineStr">
        <is>
          <t>Consumer Discretionary</t>
        </is>
      </c>
      <c r="E125" s="7" t="inlineStr">
        <is>
          <t>Trucking</t>
        </is>
      </c>
      <c r="F125" s="8" t="n">
        <v>22.60939639152535</v>
      </c>
      <c r="G125" s="5" t="inlineStr">
        <is>
          <t>USD</t>
        </is>
      </c>
      <c r="H125" s="7" t="inlineStr">
        <is>
          <t>2025-09-30 / 2025-12-31 / 2026-03-31 / 2026-06-30</t>
        </is>
      </c>
      <c r="I125" s="8" t="n">
        <v>2111</v>
      </c>
      <c r="J125" s="8" t="n">
        <v>2011</v>
      </c>
      <c r="K125" s="8" t="n">
        <v>2096</v>
      </c>
      <c r="L125" s="8" t="n">
        <v>2355</v>
      </c>
      <c r="M125" s="9" t="n">
        <v>13.22115384615385</v>
      </c>
      <c r="N125" s="8" t="n">
        <v>2221.42437</v>
      </c>
      <c r="O125" s="10" t="inlineStr">
        <is>
          <t>淨利 +$82.0M
經常 +$207.0M
一次: -$31.5M（營收 1%）</t>
        </is>
      </c>
      <c r="P125" s="10" t="inlineStr">
        <is>
          <t>淨利 +$59.0M
經常 +$162.0M
一次: 無重大</t>
        </is>
      </c>
      <c r="Q125" s="10" t="inlineStr">
        <is>
          <t>淨利 +$101.0M
經常 +$184.0M
一次: 無重大</t>
        </is>
      </c>
      <c r="R125" s="10" t="inlineStr">
        <is>
          <t>淨利 +$162.0M
經常 +$290.0M
一次: 無重大</t>
        </is>
      </c>
      <c r="S125" s="11" t="n">
        <v>1.19435</v>
      </c>
      <c r="T125" s="9" t="n">
        <v>12.31422505307856</v>
      </c>
      <c r="U125" s="9" t="n">
        <v>6.878980891719745</v>
      </c>
      <c r="V125" s="9" t="n">
        <v>14.94692144373673</v>
      </c>
      <c r="W125" s="10" t="inlineStr">
        <is>
          <t>無重大</t>
        </is>
      </c>
      <c r="X125" s="10" t="inlineStr">
        <is>
          <t>四季皆正：+207 → +162 → +184 → +290（百萬）</t>
        </is>
      </c>
      <c r="Y125" s="10" t="inlineStr">
        <is>
          <t>四季營運皆正、最新季淨利為正 — 經常性已盈利</t>
        </is>
      </c>
      <c r="Z125" s="12" t="inlineStr">
        <is>
          <t>A</t>
        </is>
      </c>
      <c r="AA125" s="7" t="inlineStr">
        <is>
          <t>2026-06-30 / 2026-10-29</t>
        </is>
      </c>
    </row>
    <row r="126" ht="46" customHeight="1">
      <c r="A126" s="5" t="n">
        <v>125</v>
      </c>
      <c r="B126" s="6" t="inlineStr">
        <is>
          <t>SNX</t>
        </is>
      </c>
      <c r="C126" s="7" t="inlineStr">
        <is>
          <t>TD SYNNEX Corporation</t>
        </is>
      </c>
      <c r="D126" s="7" t="inlineStr">
        <is>
          <t>Technology</t>
        </is>
      </c>
      <c r="E126" s="7" t="inlineStr">
        <is>
          <t>Electronics &amp; Computer Distribution</t>
        </is>
      </c>
      <c r="F126" s="8" t="n">
        <v>21.00036662523996</v>
      </c>
      <c r="G126" s="5" t="inlineStr">
        <is>
          <t>USD</t>
        </is>
      </c>
      <c r="H126" s="7" t="inlineStr">
        <is>
          <t>2025-08-31 / 2025-11-30 / 2026-02-28 / 2026-05-31</t>
        </is>
      </c>
      <c r="I126" s="8" t="n">
        <v>15650.924</v>
      </c>
      <c r="J126" s="8" t="n">
        <v>17379.14</v>
      </c>
      <c r="K126" s="8" t="n">
        <v>17161.198</v>
      </c>
      <c r="L126" s="8" t="n">
        <v>19574.813</v>
      </c>
      <c r="M126" s="9" t="n">
        <v>30.96748596560421</v>
      </c>
      <c r="N126" s="8" t="n">
        <v>19232.64257</v>
      </c>
      <c r="O126" s="10" t="inlineStr">
        <is>
          <t>淨利 +$224.8M
經常 +$386.0M
一次: 無重大</t>
        </is>
      </c>
      <c r="P126" s="10" t="inlineStr">
        <is>
          <t>淨利 +$246.2M
經常 +$401.8M
一次: 無重大</t>
        </is>
      </c>
      <c r="Q126" s="10" t="inlineStr">
        <is>
          <t>淨利 +$323.9M
經常 +$489.4M
一次: 無重大</t>
        </is>
      </c>
      <c r="R126" s="10" t="inlineStr">
        <is>
          <t>淨利 +$331.2M
經常 +$519.4M
一次: 無重大</t>
        </is>
      </c>
      <c r="S126" s="11" t="n">
        <v>4.76736</v>
      </c>
      <c r="T126" s="9" t="n">
        <v>2.653215639914415</v>
      </c>
      <c r="U126" s="9" t="n">
        <v>1.691776059367719</v>
      </c>
      <c r="V126" s="9" t="n">
        <v>6.842778012745257</v>
      </c>
      <c r="W126" s="10" t="inlineStr">
        <is>
          <t>無重大</t>
        </is>
      </c>
      <c r="X126" s="10" t="inlineStr">
        <is>
          <t>四季皆正：+386 → +402 → +489 → +519（百萬）</t>
        </is>
      </c>
      <c r="Y126" s="10" t="inlineStr">
        <is>
          <t>四季營運皆正、最新季淨利為正 — 經常性已盈利</t>
        </is>
      </c>
      <c r="Z126" s="12" t="inlineStr">
        <is>
          <t>A</t>
        </is>
      </c>
      <c r="AA126" s="7" t="inlineStr">
        <is>
          <t>2026-05-31 / 2026-09-24</t>
        </is>
      </c>
    </row>
    <row r="127" ht="46" customHeight="1">
      <c r="A127" s="5" t="n">
        <v>126</v>
      </c>
      <c r="B127" s="6" t="inlineStr">
        <is>
          <t>CF</t>
        </is>
      </c>
      <c r="C127" s="7" t="inlineStr">
        <is>
          <t>CF Industries Holdings, Inc.</t>
        </is>
      </c>
      <c r="D127" s="7" t="inlineStr">
        <is>
          <t>Industrials</t>
        </is>
      </c>
      <c r="E127" s="7" t="inlineStr">
        <is>
          <t>Agricultural Inputs</t>
        </is>
      </c>
      <c r="F127" s="8" t="n">
        <v>20.18093963509798</v>
      </c>
      <c r="G127" s="5" t="inlineStr">
        <is>
          <t>USD</t>
        </is>
      </c>
      <c r="H127" s="7" t="inlineStr">
        <is>
          <t>2025-09-30 / 2025-12-31 / 2026-03-31 / 2026-06-30</t>
        </is>
      </c>
      <c r="I127" s="8" t="n">
        <v>1659</v>
      </c>
      <c r="J127" s="8" t="n">
        <v>1872</v>
      </c>
      <c r="K127" s="8" t="n">
        <v>1986</v>
      </c>
      <c r="L127" s="8" t="n">
        <v>2222</v>
      </c>
      <c r="M127" s="9" t="n">
        <v>17.56613756613756</v>
      </c>
      <c r="N127" s="8" t="n">
        <v>1928.58731</v>
      </c>
      <c r="O127" s="10" t="inlineStr">
        <is>
          <t>淨利 +$353.0M
經常 +$574.0M
一次: 無重大</t>
        </is>
      </c>
      <c r="P127" s="10" t="inlineStr">
        <is>
          <t>淨利 +$404.0M
經常 +$681.0M
一次: -$59.2M（營收 3%）</t>
        </is>
      </c>
      <c r="Q127" s="10" t="inlineStr">
        <is>
          <t>淨利 +$615.0M
經常 +$687.0M
一次: +$136.0M（營收 7%）</t>
        </is>
      </c>
      <c r="R127" s="10" t="inlineStr">
        <is>
          <t>淨利 +$727.0M
經常 +$1.10B
一次: 無重大</t>
        </is>
      </c>
      <c r="S127" s="11" t="n">
        <v>3.58556</v>
      </c>
      <c r="T127" s="9" t="n">
        <v>49.63996399639964</v>
      </c>
      <c r="U127" s="9" t="n">
        <v>32.71827182718272</v>
      </c>
      <c r="V127" s="9" t="n">
        <v>51.53015301530153</v>
      </c>
      <c r="W127" s="10" t="inlineStr">
        <is>
          <t>無重大</t>
        </is>
      </c>
      <c r="X127" s="10" t="inlineStr">
        <is>
          <t>四季皆正：+574 → +681 → +687 → +1,103（百萬）</t>
        </is>
      </c>
      <c r="Y127" s="10" t="inlineStr">
        <is>
          <t>四季營運皆正、最新季淨利為正 — 經常性已盈利</t>
        </is>
      </c>
      <c r="Z127" s="12" t="inlineStr">
        <is>
          <t>A</t>
        </is>
      </c>
      <c r="AA127" s="7" t="inlineStr">
        <is>
          <t>2026-06-30 / 2026-11-04</t>
        </is>
      </c>
    </row>
    <row r="128" ht="46" customHeight="1">
      <c r="A128" s="5" t="n">
        <v>127</v>
      </c>
      <c r="B128" s="6" t="inlineStr">
        <is>
          <t>DINO</t>
        </is>
      </c>
      <c r="C128" s="7" t="inlineStr">
        <is>
          <t>HF Sinclair Corporation</t>
        </is>
      </c>
      <c r="D128" s="7" t="inlineStr">
        <is>
          <t>Energy</t>
        </is>
      </c>
      <c r="E128" s="7" t="inlineStr">
        <is>
          <t>Oil &amp; Gas Refining &amp; Marketing</t>
        </is>
      </c>
      <c r="F128" s="8" t="n">
        <v>18.74019552339613</v>
      </c>
      <c r="G128" s="5" t="inlineStr">
        <is>
          <t>USD</t>
        </is>
      </c>
      <c r="H128" s="7" t="inlineStr">
        <is>
          <t>2025-06-30 / 2025-09-30 / 2025-12-31 / 2026-03-31</t>
        </is>
      </c>
      <c r="I128" s="8" t="n">
        <v>6784</v>
      </c>
      <c r="J128" s="8" t="n">
        <v>7251</v>
      </c>
      <c r="K128" s="8" t="n">
        <v>6464</v>
      </c>
      <c r="L128" s="8" t="n">
        <v>7123</v>
      </c>
      <c r="M128" s="9" t="n">
        <v>11.82103610675038</v>
      </c>
      <c r="N128" s="8" t="n">
        <v>7984.20659</v>
      </c>
      <c r="O128" s="10" t="inlineStr">
        <is>
          <t>淨利 +$206.0M
經常 +$283.0M
一次: 無重大</t>
        </is>
      </c>
      <c r="P128" s="10" t="inlineStr">
        <is>
          <t>淨利 +$400.0M
經常 +$564.0M
一次: 無重大</t>
        </is>
      </c>
      <c r="Q128" s="10" t="inlineStr">
        <is>
          <t>淨利 -$28.0M
經常 +$7.0M
一次: 無重大</t>
        </is>
      </c>
      <c r="R128" s="10" t="inlineStr">
        <is>
          <t>淨利 +$642.0M
經常 +$847.0M
一次: 無重大</t>
        </is>
      </c>
      <c r="S128" s="11" t="n">
        <v>3.1189</v>
      </c>
      <c r="T128" s="9" t="n">
        <v>11.89105713884599</v>
      </c>
      <c r="U128" s="9" t="n">
        <v>9.013056296504281</v>
      </c>
      <c r="V128" s="9" t="n">
        <v>13.5055454162572</v>
      </c>
      <c r="W128" s="10" t="inlineStr">
        <is>
          <t>無重大</t>
        </is>
      </c>
      <c r="X128" s="10" t="inlineStr">
        <is>
          <t>四季皆正：+283 → +564 → +7 → +847（百萬）</t>
        </is>
      </c>
      <c r="Y128" s="10" t="inlineStr">
        <is>
          <t>四季營運皆正、最新季淨利為正 — 經常性已盈利</t>
        </is>
      </c>
      <c r="Z128" s="12" t="inlineStr">
        <is>
          <t>A</t>
        </is>
      </c>
      <c r="AA128" s="7" t="inlineStr">
        <is>
          <t>2026-03-31 / 2026-10-29</t>
        </is>
      </c>
    </row>
    <row r="129" ht="46" customHeight="1">
      <c r="A129" s="5" t="n">
        <v>128</v>
      </c>
      <c r="B129" s="6" t="inlineStr">
        <is>
          <t>MEDP</t>
        </is>
      </c>
      <c r="C129" s="7" t="inlineStr">
        <is>
          <t>Medpace Holdings, Inc.</t>
        </is>
      </c>
      <c r="D129" s="7" t="inlineStr">
        <is>
          <t>Health Care</t>
        </is>
      </c>
      <c r="E129" s="7" t="inlineStr">
        <is>
          <t>Diagnostics &amp; Research</t>
        </is>
      </c>
      <c r="F129" s="8" t="n">
        <v>16.50388248522635</v>
      </c>
      <c r="G129" s="5" t="inlineStr">
        <is>
          <t>USD</t>
        </is>
      </c>
      <c r="H129" s="7" t="inlineStr">
        <is>
          <t>2025-09-30 / 2025-12-31 / 2026-03-31 / 2026-06-30</t>
        </is>
      </c>
      <c r="I129" s="8" t="n">
        <v>659.903</v>
      </c>
      <c r="J129" s="8" t="n">
        <v>708.45</v>
      </c>
      <c r="K129" s="8" t="n">
        <v>706.604</v>
      </c>
      <c r="L129" s="8" t="n">
        <v>707.331</v>
      </c>
      <c r="M129" s="9" t="n">
        <v>17.24152219999304</v>
      </c>
      <c r="N129" s="8" t="n">
        <v>720.377</v>
      </c>
      <c r="O129" s="10" t="inlineStr">
        <is>
          <t>淨利 +$111.1M
經常 +$141.8M
一次: 無重大</t>
        </is>
      </c>
      <c r="P129" s="10" t="inlineStr">
        <is>
          <t>淨利 +$135.1M
經常 +$153.3M
一次: 無重大</t>
        </is>
      </c>
      <c r="Q129" s="10" t="inlineStr">
        <is>
          <t>淨利 +$123.9M
經常 +$141.5M
一次: 無重大</t>
        </is>
      </c>
      <c r="R129" s="10" t="inlineStr">
        <is>
          <t>淨利 +$121.4M
經常 +$146.8M
一次: 無重大</t>
        </is>
      </c>
      <c r="S129" s="11" t="n">
        <v>4.69614</v>
      </c>
      <c r="T129" s="9" t="n">
        <v>20.75746715469844</v>
      </c>
      <c r="U129" s="9" t="n">
        <v>17.15773803212358</v>
      </c>
      <c r="V129" s="9" t="n">
        <v>28.50673871214467</v>
      </c>
      <c r="W129" s="10" t="inlineStr">
        <is>
          <t>無重大</t>
        </is>
      </c>
      <c r="X129" s="10" t="inlineStr">
        <is>
          <t>四季皆正：+142 → +153 → +142 → +147（百萬）</t>
        </is>
      </c>
      <c r="Y129" s="10" t="inlineStr">
        <is>
          <t>四季營運皆正、最新季淨利為正 — 經常性已盈利</t>
        </is>
      </c>
      <c r="Z129" s="12" t="inlineStr">
        <is>
          <t>A</t>
        </is>
      </c>
      <c r="AA129" s="7" t="inlineStr">
        <is>
          <t>2026-06-30 / 2026-10-19</t>
        </is>
      </c>
    </row>
    <row r="130" ht="46" customHeight="1">
      <c r="A130" s="5" t="n">
        <v>129</v>
      </c>
      <c r="B130" s="6" t="inlineStr">
        <is>
          <t>JAZZ</t>
        </is>
      </c>
      <c r="C130" s="7" t="inlineStr">
        <is>
          <t>Jazz Pharmaceuticals plc</t>
        </is>
      </c>
      <c r="D130" s="7" t="inlineStr">
        <is>
          <t>Health Care</t>
        </is>
      </c>
      <c r="E130" s="7" t="inlineStr">
        <is>
          <t>Biotechnology</t>
        </is>
      </c>
      <c r="F130" s="8" t="n">
        <v>16.02156674950504</v>
      </c>
      <c r="G130" s="5" t="inlineStr">
        <is>
          <t>USD</t>
        </is>
      </c>
      <c r="H130" s="7" t="inlineStr">
        <is>
          <t>2025-09-30 / 2025-12-31 / 2026-03-31 / 2026-06-30</t>
        </is>
      </c>
      <c r="I130" s="8" t="n">
        <v>1126.107</v>
      </c>
      <c r="J130" s="8" t="n">
        <v>1197.926</v>
      </c>
      <c r="K130" s="8" t="n">
        <v>1068.9</v>
      </c>
      <c r="L130" s="8" t="n">
        <v>1208.3</v>
      </c>
      <c r="M130" s="9" t="n">
        <v>15.54939275126708</v>
      </c>
      <c r="N130" s="8" t="n">
        <v>1231.07408</v>
      </c>
      <c r="O130" s="10" t="inlineStr">
        <is>
          <t>淨利 +$251.4M
經常 +$100.0M
一次: -$33.5M（營收 3%）</t>
        </is>
      </c>
      <c r="P130" s="10" t="inlineStr">
        <is>
          <t>淨利 +$203.5M
經常 +$254.5M
一次: 無重大</t>
        </is>
      </c>
      <c r="Q130" s="10" t="inlineStr">
        <is>
          <t>淨利 +$293.1M
經常 +$336.6M
一次: 無重大</t>
        </is>
      </c>
      <c r="R130" s="10" t="inlineStr">
        <is>
          <t>淨利 +$192.8M
經常 +$325.2M
一次: -$70.5M（營收 6%）</t>
        </is>
      </c>
      <c r="S130" s="11" t="n">
        <v>6.45298</v>
      </c>
      <c r="T130" s="9" t="n">
        <v>26.91384589919722</v>
      </c>
      <c r="U130" s="9" t="n">
        <v>15.95630224282049</v>
      </c>
      <c r="V130" s="9" t="n">
        <v>90.36663080360839</v>
      </c>
      <c r="W130" s="10" t="inlineStr">
        <is>
          <t>-$70.5M・營收 5.8%</t>
        </is>
      </c>
      <c r="X130" s="10" t="inlineStr">
        <is>
          <t>四季皆正：+100 → +255 → +337 → +325（百萬）</t>
        </is>
      </c>
      <c r="Y130" s="10" t="inlineStr">
        <is>
          <t>四季營運皆正、最新季淨利為正 — 經常性已盈利</t>
        </is>
      </c>
      <c r="Z130" s="12" t="inlineStr">
        <is>
          <t>A</t>
        </is>
      </c>
      <c r="AA130" s="7" t="inlineStr">
        <is>
          <t>2026-06-30 / 2026-11-04</t>
        </is>
      </c>
    </row>
    <row r="131" ht="46" customHeight="1">
      <c r="A131" s="5" t="n">
        <v>130</v>
      </c>
      <c r="B131" s="6" t="inlineStr">
        <is>
          <t>TIGO</t>
        </is>
      </c>
      <c r="C131" s="7" t="inlineStr">
        <is>
          <t>Millicom International Cellular S.A.</t>
        </is>
      </c>
      <c r="D131" s="7" t="inlineStr">
        <is>
          <t>Telecommunications</t>
        </is>
      </c>
      <c r="E131" s="7" t="inlineStr">
        <is>
          <t>Telecom Services</t>
        </is>
      </c>
      <c r="F131" s="8" t="n">
        <v>15.88789681401082</v>
      </c>
      <c r="G131" s="5" t="inlineStr">
        <is>
          <t>USD</t>
        </is>
      </c>
      <c r="H131" s="7" t="inlineStr">
        <is>
          <t>2025-09-30 / 2025-12-31 / 2026-03-31 / 2026-06-30</t>
        </is>
      </c>
      <c r="I131" s="8" t="n">
        <v>1420</v>
      </c>
      <c r="J131" s="8" t="n">
        <v>1652</v>
      </c>
      <c r="K131" s="8" t="n">
        <v>1985</v>
      </c>
      <c r="L131" s="8" t="n">
        <v>2179</v>
      </c>
      <c r="M131" s="9" t="n">
        <v>59.40014630577907</v>
      </c>
      <c r="N131" s="8" t="n">
        <v>2294.3185</v>
      </c>
      <c r="O131" s="10" t="inlineStr">
        <is>
          <t>淨利 +$195.0M
經常 +$376.0M
一次: +$124.9M（營收 9%）</t>
        </is>
      </c>
      <c r="P131" s="10" t="inlineStr">
        <is>
          <t>淨利 +$252.0M
經常 +$405.0M
一次: +$18.0M（營收 1%）</t>
        </is>
      </c>
      <c r="Q131" s="10" t="inlineStr">
        <is>
          <t>淨利 +$109.0M
經常 +$427.0M
一次: 無重大</t>
        </is>
      </c>
      <c r="R131" s="10" t="inlineStr">
        <is>
          <t>淨利 +$109.0M
經常 +$452.0M
一次: 無重大</t>
        </is>
      </c>
      <c r="S131" s="11" t="n">
        <v>0.52</v>
      </c>
      <c r="T131" s="9" t="n">
        <v>20.74346030289123</v>
      </c>
      <c r="U131" s="9" t="n">
        <v>5.002294630564479</v>
      </c>
      <c r="V131" s="9" t="n">
        <v>75.26388251491511</v>
      </c>
      <c r="W131" s="10" t="inlineStr">
        <is>
          <t>無重大</t>
        </is>
      </c>
      <c r="X131" s="10" t="inlineStr">
        <is>
          <t>四季皆正：+376 → +405 → +427 → +452（百萬）</t>
        </is>
      </c>
      <c r="Y131" s="10" t="inlineStr">
        <is>
          <t>四季營運皆正、最新季淨利為正 — 經常性已盈利</t>
        </is>
      </c>
      <c r="Z131" s="12" t="inlineStr">
        <is>
          <t>A</t>
        </is>
      </c>
      <c r="AA131" s="7" t="inlineStr">
        <is>
          <t>2026-06-30 / 2026-11-05</t>
        </is>
      </c>
    </row>
    <row r="132" ht="46" customHeight="1">
      <c r="A132" s="5" t="n">
        <v>131</v>
      </c>
      <c r="B132" s="6" t="inlineStr">
        <is>
          <t>H</t>
        </is>
      </c>
      <c r="C132" s="7" t="inlineStr">
        <is>
          <t>Hyatt Hotels Corporation</t>
        </is>
      </c>
      <c r="D132" s="7" t="inlineStr">
        <is>
          <t>Consumer Discretionary</t>
        </is>
      </c>
      <c r="E132" s="7" t="inlineStr">
        <is>
          <t>Lodging</t>
        </is>
      </c>
      <c r="F132" s="8" t="n">
        <v>15.62333552557239</v>
      </c>
      <c r="G132" s="5" t="inlineStr">
        <is>
          <t>USD</t>
        </is>
      </c>
      <c r="H132" s="7" t="inlineStr">
        <is>
          <t>2025-09-30 / 2025-12-31 / 2026-03-31 / 2026-06-30</t>
        </is>
      </c>
      <c r="I132" s="8" t="n">
        <v>1786</v>
      </c>
      <c r="J132" s="8" t="n">
        <v>1789</v>
      </c>
      <c r="K132" s="8" t="n">
        <v>1748</v>
      </c>
      <c r="L132" s="8" t="n">
        <v>1829</v>
      </c>
      <c r="M132" s="9" t="n">
        <v>1.161504424778759</v>
      </c>
      <c r="N132" s="8" t="n">
        <v>1827.98486</v>
      </c>
      <c r="O132" s="10" t="inlineStr">
        <is>
          <t>淨利 -$49.0M
經常 +$123.0M
一次: -$39.5M（營收 2%）</t>
        </is>
      </c>
      <c r="P132" s="10" t="inlineStr">
        <is>
          <t>淨利 -$20.0M
經常 +$125.0M
一次: -$41.9M（營收 2%）</t>
        </is>
      </c>
      <c r="Q132" s="10" t="inlineStr">
        <is>
          <t>淨利 +$38.0M
經常 +$120.0M
一次: 無重大</t>
        </is>
      </c>
      <c r="R132" s="10" t="inlineStr">
        <is>
          <t>淨利 +$110.0M
經常 +$142.0M
一次: +$27.0M（營收 1%）</t>
        </is>
      </c>
      <c r="S132" s="11" t="n">
        <v>0.9946700000000001</v>
      </c>
      <c r="T132" s="9" t="n">
        <v>7.763805358119191</v>
      </c>
      <c r="U132" s="9" t="n">
        <v>6.014215418261345</v>
      </c>
      <c r="V132" s="9" t="n">
        <v>21.21377802077638</v>
      </c>
      <c r="W132" s="10" t="inlineStr">
        <is>
          <t>+$27.0M・營收 1.5%</t>
        </is>
      </c>
      <c r="X132" s="10" t="inlineStr">
        <is>
          <t>四季皆正：+123 → +125 → +120 → +142（百萬）</t>
        </is>
      </c>
      <c r="Y132" s="10" t="inlineStr">
        <is>
          <t>四季營運皆正、最新季淨利為正 — 經常性已盈利</t>
        </is>
      </c>
      <c r="Z132" s="12" t="inlineStr">
        <is>
          <t>A</t>
        </is>
      </c>
      <c r="AA132" s="7" t="inlineStr">
        <is>
          <t>2026-06-30 / 2026-11-05</t>
        </is>
      </c>
    </row>
    <row r="133" ht="46" customHeight="1">
      <c r="A133" s="5" t="n">
        <v>132</v>
      </c>
      <c r="B133" s="6" t="inlineStr">
        <is>
          <t>UNM</t>
        </is>
      </c>
      <c r="C133" s="7" t="inlineStr">
        <is>
          <t>Unum Group</t>
        </is>
      </c>
      <c r="D133" s="7" t="inlineStr">
        <is>
          <t>Finance</t>
        </is>
      </c>
      <c r="E133" s="7" t="inlineStr">
        <is>
          <t>Insurance - Life</t>
        </is>
      </c>
      <c r="F133" s="8" t="n">
        <v>15.17370658863887</v>
      </c>
      <c r="G133" s="5" t="inlineStr">
        <is>
          <t>USD</t>
        </is>
      </c>
      <c r="H133" s="7" t="inlineStr">
        <is>
          <t>2025-09-30 / 2025-12-31 / 2026-03-31 / 2026-06-30</t>
        </is>
      </c>
      <c r="I133" s="8" t="n">
        <v>3357.5</v>
      </c>
      <c r="J133" s="8" t="n">
        <v>3206.1</v>
      </c>
      <c r="K133" s="8" t="n">
        <v>3331.4</v>
      </c>
      <c r="L133" s="8" t="n">
        <v>3350</v>
      </c>
      <c r="M133" s="9" t="n">
        <v>0.125530515870631</v>
      </c>
      <c r="N133" s="8" t="n">
        <v>2965.04368</v>
      </c>
      <c r="O133" s="10" t="inlineStr">
        <is>
          <t>淨利 +$39.7M
經常* +$54.5M
一次: 無重大</t>
        </is>
      </c>
      <c r="P133" s="10" t="inlineStr">
        <is>
          <t>淨利 +$174.1M
經常* +$218.4M
一次: 無重大</t>
        </is>
      </c>
      <c r="Q133" s="10" t="inlineStr">
        <is>
          <t>淨利 +$232.0M
經常* +$302.7M
一次: 無重大</t>
        </is>
      </c>
      <c r="R133" s="10" t="inlineStr">
        <is>
          <t>淨利 +$256.9M
經常* +$329.5M
一次: 無重大</t>
        </is>
      </c>
      <c r="S133" s="11" t="n">
        <v>2.19524</v>
      </c>
      <c r="T133" s="9" t="n">
        <v>9.835820895522387</v>
      </c>
      <c r="U133" s="9" t="n">
        <v>7.66865671641791</v>
      </c>
      <c r="V133" s="9" t="n"/>
      <c r="W133" s="10" t="inlineStr">
        <is>
          <t>無重大</t>
        </is>
      </c>
      <c r="X133" s="10" t="inlineStr">
        <is>
          <t>四季皆正：+54 → +218 → +303 → +330（百萬）</t>
        </is>
      </c>
      <c r="Y133" s="10" t="inlineStr">
        <is>
          <t>四季營運皆正、最新季淨利為正 — 經常性已盈利</t>
        </is>
      </c>
      <c r="Z133" s="12" t="inlineStr">
        <is>
          <t>A</t>
        </is>
      </c>
      <c r="AA133" s="7" t="inlineStr">
        <is>
          <t>2026-06-30 / 2026-11-03</t>
        </is>
      </c>
    </row>
    <row r="134" ht="46" customHeight="1">
      <c r="A134" s="5" t="n">
        <v>133</v>
      </c>
      <c r="B134" s="6" t="inlineStr">
        <is>
          <t>HST</t>
        </is>
      </c>
      <c r="C134" s="7" t="inlineStr">
        <is>
          <t>Host Hotels &amp; Resorts, Inc.</t>
        </is>
      </c>
      <c r="D134" s="7" t="inlineStr">
        <is>
          <t>Real Estate</t>
        </is>
      </c>
      <c r="E134" s="7" t="inlineStr">
        <is>
          <t>REIT - Hotel &amp; Motel</t>
        </is>
      </c>
      <c r="F134" s="8" t="n">
        <v>15.106992998</v>
      </c>
      <c r="G134" s="5" t="inlineStr">
        <is>
          <t>USD</t>
        </is>
      </c>
      <c r="H134" s="7" t="inlineStr">
        <is>
          <t>2025-09-30 / 2025-12-31 / 2026-03-31 / 2026-06-30</t>
        </is>
      </c>
      <c r="I134" s="8" t="n">
        <v>1331</v>
      </c>
      <c r="J134" s="8" t="n">
        <v>1603</v>
      </c>
      <c r="K134" s="8" t="n">
        <v>1645</v>
      </c>
      <c r="L134" s="8" t="n">
        <v>1640</v>
      </c>
      <c r="M134" s="9" t="n">
        <v>3.404791929382101</v>
      </c>
      <c r="N134" s="8" t="n">
        <v>1514.82899</v>
      </c>
      <c r="O134" s="10" t="inlineStr">
        <is>
          <t>淨利 +$161.0M
經常 +$96.0M
一次: 無重大</t>
        </is>
      </c>
      <c r="P134" s="10" t="inlineStr">
        <is>
          <t>淨利 +$135.0M
經常 +$192.0M
一次: +$136.0M（營收 8%）</t>
        </is>
      </c>
      <c r="Q134" s="10" t="inlineStr">
        <is>
          <t>淨利 +$494.0M
經常 +$312.0M
一次: 無重大</t>
        </is>
      </c>
      <c r="R134" s="10" t="inlineStr">
        <is>
          <t>淨利 +$237.0M
經常 +$293.0M
一次: 無重大</t>
        </is>
      </c>
      <c r="S134" s="11" t="n">
        <v>0.22917</v>
      </c>
      <c r="T134" s="9" t="n">
        <v>17.86585365853658</v>
      </c>
      <c r="U134" s="9" t="n">
        <v>14.45121951219512</v>
      </c>
      <c r="V134" s="9" t="n">
        <v>54.02439024390245</v>
      </c>
      <c r="W134" s="10" t="inlineStr">
        <is>
          <t>無重大</t>
        </is>
      </c>
      <c r="X134" s="10" t="inlineStr">
        <is>
          <t>四季皆正：+96 → +192 → +312 → +293（百萬）</t>
        </is>
      </c>
      <c r="Y134" s="10" t="inlineStr">
        <is>
          <t>四季營運皆正、最新季淨利為正 — 經常性已盈利</t>
        </is>
      </c>
      <c r="Z134" s="12" t="inlineStr">
        <is>
          <t>A</t>
        </is>
      </c>
      <c r="AA134" s="7" t="inlineStr">
        <is>
          <t>2026-06-30 / 2026-11-04</t>
        </is>
      </c>
    </row>
    <row r="135" ht="46" customHeight="1">
      <c r="A135" s="5" t="n">
        <v>134</v>
      </c>
      <c r="B135" s="6" t="inlineStr">
        <is>
          <t>FN</t>
        </is>
      </c>
      <c r="C135" s="7" t="inlineStr">
        <is>
          <t>Fabrinet</t>
        </is>
      </c>
      <c r="D135" s="7" t="inlineStr">
        <is>
          <t>Utilities</t>
        </is>
      </c>
      <c r="E135" s="7" t="inlineStr">
        <is>
          <t>Electronic Components</t>
        </is>
      </c>
      <c r="F135" s="8" t="n">
        <v>14.59912359391653</v>
      </c>
      <c r="G135" s="5" t="inlineStr">
        <is>
          <t>USD</t>
        </is>
      </c>
      <c r="H135" s="7" t="inlineStr">
        <is>
          <t>2025-09-30 / 2025-12-31 / 2026-03-31 / 2026-06-30</t>
        </is>
      </c>
      <c r="I135" s="8" t="n">
        <v>978.128</v>
      </c>
      <c r="J135" s="8" t="n">
        <v>1132.888</v>
      </c>
      <c r="K135" s="8" t="n">
        <v>1214.293</v>
      </c>
      <c r="L135" s="8" t="n">
        <v>1315.788</v>
      </c>
      <c r="M135" s="9" t="n">
        <v>44.64104334214218</v>
      </c>
      <c r="N135" s="8" t="n">
        <v>1479.20771</v>
      </c>
      <c r="O135" s="10" t="inlineStr">
        <is>
          <t>淨利 +$95.9M
經常 +$94.2M
一次: 無重大</t>
        </is>
      </c>
      <c r="P135" s="10" t="inlineStr">
        <is>
          <t>淨利 +$112.6M
經常 +$114.4M
一次: 無重大</t>
        </is>
      </c>
      <c r="Q135" s="10" t="inlineStr">
        <is>
          <t>淨利 +$125.2M
經常 +$120.0M
一次: 無重大</t>
        </is>
      </c>
      <c r="R135" s="10" t="inlineStr">
        <is>
          <t>淨利 +$139.3M
經常 +$134.4M
一次: 無重大</t>
        </is>
      </c>
      <c r="S135" s="11" t="n">
        <v>4.41713</v>
      </c>
      <c r="T135" s="9" t="n">
        <v>10.21182743724673</v>
      </c>
      <c r="U135" s="9" t="n">
        <v>10.58377185382447</v>
      </c>
      <c r="V135" s="9" t="n">
        <v>12.01188945331619</v>
      </c>
      <c r="W135" s="10" t="inlineStr">
        <is>
          <t>無重大</t>
        </is>
      </c>
      <c r="X135" s="10" t="inlineStr">
        <is>
          <t>四季皆正：+94 → +114 → +120 → +134（百萬）</t>
        </is>
      </c>
      <c r="Y135" s="10" t="inlineStr">
        <is>
          <t>四季營運皆正、最新季淨利為正 — 經常性已盈利</t>
        </is>
      </c>
      <c r="Z135" s="12" t="inlineStr">
        <is>
          <t>A</t>
        </is>
      </c>
      <c r="AA135" s="7" t="inlineStr">
        <is>
          <t>2026-06-30 / 2026-11-02</t>
        </is>
      </c>
    </row>
    <row r="136" ht="46" customHeight="1">
      <c r="A136" s="5" t="n">
        <v>135</v>
      </c>
      <c r="B136" s="6" t="inlineStr">
        <is>
          <t>GL</t>
        </is>
      </c>
      <c r="C136" s="7" t="inlineStr">
        <is>
          <t>Globe Life Inc.</t>
        </is>
      </c>
      <c r="D136" s="7" t="inlineStr">
        <is>
          <t>Finance</t>
        </is>
      </c>
      <c r="E136" s="7" t="inlineStr">
        <is>
          <t>Insurance - Life</t>
        </is>
      </c>
      <c r="F136" s="8" t="n">
        <v>13.39255312842176</v>
      </c>
      <c r="G136" s="5" t="inlineStr">
        <is>
          <t>USD</t>
        </is>
      </c>
      <c r="H136" s="7" t="inlineStr">
        <is>
          <t>2025-09-30 / 2025-12-31 / 2026-03-31 / 2026-06-30</t>
        </is>
      </c>
      <c r="I136" s="8" t="n">
        <v>1512.988</v>
      </c>
      <c r="J136" s="8" t="n">
        <v>1519.621</v>
      </c>
      <c r="K136" s="8" t="n">
        <v>1559.619</v>
      </c>
      <c r="L136" s="8" t="n">
        <v>1599.73</v>
      </c>
      <c r="M136" s="9" t="n">
        <v>7.995952168620923</v>
      </c>
      <c r="N136" s="8" t="n">
        <v>1635.87633</v>
      </c>
      <c r="O136" s="10" t="inlineStr">
        <is>
          <t>淨利 +$387.8M
經常* +$477.1M
一次: 無重大</t>
        </is>
      </c>
      <c r="P136" s="10" t="inlineStr">
        <is>
          <t>淨利 +$266.1M
經常* +$329.5M
一次: 無重大</t>
        </is>
      </c>
      <c r="Q136" s="10" t="inlineStr">
        <is>
          <t>淨利 +$270.5M
經常* +$334.1M
一次: 無重大</t>
        </is>
      </c>
      <c r="R136" s="10" t="inlineStr">
        <is>
          <t>淨利 +$287.7M
經常* +$354.9M
一次: 無重大</t>
        </is>
      </c>
      <c r="S136" s="11" t="n">
        <v>3.77868</v>
      </c>
      <c r="T136" s="9" t="n">
        <v>22.18418108055734</v>
      </c>
      <c r="U136" s="9" t="n">
        <v>17.9872228438549</v>
      </c>
      <c r="V136" s="9" t="n"/>
      <c r="W136" s="10" t="inlineStr">
        <is>
          <t>無重大</t>
        </is>
      </c>
      <c r="X136" s="10" t="inlineStr">
        <is>
          <t>四季皆正：+477 → +329 → +334 → +355（百萬）</t>
        </is>
      </c>
      <c r="Y136" s="10" t="inlineStr">
        <is>
          <t>四季營運皆正、最新季淨利為正 — 經常性已盈利</t>
        </is>
      </c>
      <c r="Z136" s="12" t="inlineStr">
        <is>
          <t>A</t>
        </is>
      </c>
      <c r="AA136" s="7" t="inlineStr">
        <is>
          <t>2026-06-30 / 2026-10-21</t>
        </is>
      </c>
    </row>
    <row r="137" ht="46" customHeight="1">
      <c r="A137" s="5" t="n">
        <v>136</v>
      </c>
      <c r="B137" s="6" t="inlineStr">
        <is>
          <t>TXRH</t>
        </is>
      </c>
      <c r="C137" s="7" t="inlineStr">
        <is>
          <t>Texas Roadhouse, Inc.</t>
        </is>
      </c>
      <c r="D137" s="7" t="inlineStr">
        <is>
          <t>Consumer Discretionary</t>
        </is>
      </c>
      <c r="E137" s="7" t="inlineStr">
        <is>
          <t>Restaurants</t>
        </is>
      </c>
      <c r="F137" s="8" t="n">
        <v>12.44289393293641</v>
      </c>
      <c r="G137" s="5" t="inlineStr">
        <is>
          <t>USD</t>
        </is>
      </c>
      <c r="H137" s="7" t="inlineStr">
        <is>
          <t>2025-09-30 / 2025-12-31 / 2026-03-31 / 2026-06-30</t>
        </is>
      </c>
      <c r="I137" s="8" t="n">
        <v>1436.342</v>
      </c>
      <c r="J137" s="8" t="n">
        <v>1482.031</v>
      </c>
      <c r="K137" s="8" t="n">
        <v>1633.166</v>
      </c>
      <c r="L137" s="8" t="n">
        <v>1679.976</v>
      </c>
      <c r="M137" s="9" t="n">
        <v>11.10555575396117</v>
      </c>
      <c r="N137" s="8" t="n">
        <v>1635.42318</v>
      </c>
      <c r="O137" s="10" t="inlineStr">
        <is>
          <t>淨利 +$83.2M
經常 +$97.1M
一次: 無重大</t>
        </is>
      </c>
      <c r="P137" s="10" t="inlineStr">
        <is>
          <t>淨利 +$84.6M
經常 +$96.8M
一次: 無重大</t>
        </is>
      </c>
      <c r="Q137" s="10" t="inlineStr">
        <is>
          <t>淨利 +$123.4M
經常 +$153.0M
一次: 無重大</t>
        </is>
      </c>
      <c r="R137" s="10" t="inlineStr">
        <is>
          <t>淨利 +$121.9M
經常 +$142.9M
一次: 無重大</t>
        </is>
      </c>
      <c r="S137" s="11" t="n">
        <v>1.37902</v>
      </c>
      <c r="T137" s="9" t="n">
        <v>8.508514407348676</v>
      </c>
      <c r="U137" s="9" t="n">
        <v>7.258020352671704</v>
      </c>
      <c r="V137" s="9" t="n">
        <v>16.79684709781568</v>
      </c>
      <c r="W137" s="10" t="inlineStr">
        <is>
          <t>無重大</t>
        </is>
      </c>
      <c r="X137" s="10" t="inlineStr">
        <is>
          <t>四季皆正：+97 → +97 → +153 → +143（百萬）</t>
        </is>
      </c>
      <c r="Y137" s="10" t="inlineStr">
        <is>
          <t>四季營運皆正、最新季淨利為正 — 經常性已盈利</t>
        </is>
      </c>
      <c r="Z137" s="12" t="inlineStr">
        <is>
          <t>A</t>
        </is>
      </c>
      <c r="AA137" s="7" t="inlineStr">
        <is>
          <t>2026-06-30 / 2026-11-05</t>
        </is>
      </c>
    </row>
    <row r="138" ht="46" customHeight="1">
      <c r="A138" s="5" t="n">
        <v>137</v>
      </c>
      <c r="B138" s="6" t="inlineStr">
        <is>
          <t>HII</t>
        </is>
      </c>
      <c r="C138" s="7" t="inlineStr">
        <is>
          <t>Huntington Ingalls Industries, Inc.</t>
        </is>
      </c>
      <c r="D138" s="7" t="inlineStr">
        <is>
          <t>Industrials</t>
        </is>
      </c>
      <c r="E138" s="7" t="inlineStr">
        <is>
          <t>Aerospace &amp; Defense</t>
        </is>
      </c>
      <c r="F138" s="8" t="n">
        <v>11.26695670600121</v>
      </c>
      <c r="G138" s="5" t="inlineStr">
        <is>
          <t>USD</t>
        </is>
      </c>
      <c r="H138" s="7" t="inlineStr">
        <is>
          <t>2025-09-30 / 2025-12-31 / 2026-03-31 / 2026-06-30</t>
        </is>
      </c>
      <c r="I138" s="8" t="n">
        <v>3192</v>
      </c>
      <c r="J138" s="8" t="n">
        <v>3476</v>
      </c>
      <c r="K138" s="8" t="n">
        <v>3099</v>
      </c>
      <c r="L138" s="8" t="n">
        <v>3418</v>
      </c>
      <c r="M138" s="9" t="n">
        <v>10.9020116807268</v>
      </c>
      <c r="N138" s="8" t="n">
        <v>3509.0416</v>
      </c>
      <c r="O138" s="10" t="inlineStr">
        <is>
          <t>淨利 +$145.0M
經常 +$149.0M
一次: 無重大</t>
        </is>
      </c>
      <c r="P138" s="10" t="inlineStr">
        <is>
          <t>淨利 +$159.0M
經常 +$159.0M
一次: 無重大</t>
        </is>
      </c>
      <c r="Q138" s="10" t="inlineStr">
        <is>
          <t>淨利 +$149.0M
經常 +$150.0M
一次: 無重大</t>
        </is>
      </c>
      <c r="R138" s="10" t="inlineStr">
        <is>
          <t>淨利 +$208.0M
經常 +$189.0M
一次: 無重大</t>
        </is>
      </c>
      <c r="S138" s="11" t="n">
        <v>5.05019</v>
      </c>
      <c r="T138" s="9" t="n">
        <v>5.529549444119368</v>
      </c>
      <c r="U138" s="9" t="n">
        <v>6.085430076067875</v>
      </c>
      <c r="V138" s="9" t="n">
        <v>12.60971328262142</v>
      </c>
      <c r="W138" s="10" t="inlineStr">
        <is>
          <t>無重大</t>
        </is>
      </c>
      <c r="X138" s="10" t="inlineStr">
        <is>
          <t>四季皆正：+149 → +159 → +150 → +189（百萬）</t>
        </is>
      </c>
      <c r="Y138" s="10" t="inlineStr">
        <is>
          <t>四季營運皆正、最新季淨利為正 — 經常性已盈利</t>
        </is>
      </c>
      <c r="Z138" s="12" t="inlineStr">
        <is>
          <t>A</t>
        </is>
      </c>
      <c r="AA138" s="7" t="inlineStr">
        <is>
          <t>2026-06-30 / 2026-10-29</t>
        </is>
      </c>
    </row>
    <row r="139" ht="46" customHeight="1">
      <c r="A139" s="5" t="n">
        <v>138</v>
      </c>
      <c r="B139" s="6" t="inlineStr">
        <is>
          <t>LULU</t>
        </is>
      </c>
      <c r="C139" s="7" t="inlineStr">
        <is>
          <t>lululemon athletica inc.</t>
        </is>
      </c>
      <c r="D139" s="7" t="inlineStr">
        <is>
          <t>Consumer Discretionary</t>
        </is>
      </c>
      <c r="E139" s="7" t="inlineStr">
        <is>
          <t>Apparel Retail</t>
        </is>
      </c>
      <c r="F139" s="8" t="n">
        <v>10.90994285418419</v>
      </c>
      <c r="G139" s="5" t="inlineStr">
        <is>
          <t>USD</t>
        </is>
      </c>
      <c r="H139" s="7" t="inlineStr">
        <is>
          <t>2025-10-31 / 2026-01-31 / 2026-04-30 / 2026-07-31</t>
        </is>
      </c>
      <c r="I139" s="8" t="n">
        <v>2565.92</v>
      </c>
      <c r="J139" s="8" t="n">
        <v>3640.801</v>
      </c>
      <c r="K139" s="8" t="n">
        <v>2471.603</v>
      </c>
      <c r="L139" s="8" t="n">
        <v>2415.631</v>
      </c>
      <c r="M139" s="9" t="n">
        <v>-4.3397424144203</v>
      </c>
      <c r="N139" s="8" t="n">
        <v>3262.09718</v>
      </c>
      <c r="O139" s="10" t="inlineStr">
        <is>
          <t>淨利 +$306.8M
經常 +$435.9M
一次: 無重大</t>
        </is>
      </c>
      <c r="P139" s="10" t="inlineStr">
        <is>
          <t>淨利 +$586.9M
經常 +$812.3M
一次: 無重大</t>
        </is>
      </c>
      <c r="Q139" s="10" t="inlineStr">
        <is>
          <t>淨利 +$195.0M
經常 +$276.9M
一次: 無重大</t>
        </is>
      </c>
      <c r="R139" s="10" t="inlineStr">
        <is>
          <t>淨利 +$329.2M
經常 +$453.7M
一次: 無重大</t>
        </is>
      </c>
      <c r="S139" s="11" t="n">
        <v>4.03598</v>
      </c>
      <c r="T139" s="9" t="n">
        <v>18.77989643285751</v>
      </c>
      <c r="U139" s="9" t="n">
        <v>13.62886136168976</v>
      </c>
      <c r="V139" s="9" t="n">
        <v>60.51743830080009</v>
      </c>
      <c r="W139" s="10" t="inlineStr">
        <is>
          <t>無重大</t>
        </is>
      </c>
      <c r="X139" s="10" t="inlineStr">
        <is>
          <t>四季皆正：+436 → +812 → +277 → +454（百萬）</t>
        </is>
      </c>
      <c r="Y139" s="10" t="inlineStr">
        <is>
          <t>四季營運皆正、最新季淨利為正 — 經常性已盈利</t>
        </is>
      </c>
      <c r="Z139" s="12" t="inlineStr">
        <is>
          <t>A</t>
        </is>
      </c>
      <c r="AA139" s="7" t="inlineStr">
        <is>
          <t>2026-07-31 / 2026-09-03</t>
        </is>
      </c>
    </row>
    <row r="140" ht="46" customHeight="1">
      <c r="A140" s="5" t="n">
        <v>139</v>
      </c>
      <c r="B140" s="6" t="inlineStr">
        <is>
          <t>CGNX</t>
        </is>
      </c>
      <c r="C140" s="7" t="inlineStr">
        <is>
          <t>Cognex Corporation</t>
        </is>
      </c>
      <c r="D140" s="7" t="inlineStr">
        <is>
          <t>Industrials</t>
        </is>
      </c>
      <c r="E140" s="7" t="inlineStr">
        <is>
          <t>Scientific &amp; Technical Instruments</t>
        </is>
      </c>
      <c r="F140" s="8" t="n">
        <v>10.47193416472236</v>
      </c>
      <c r="G140" s="5" t="inlineStr">
        <is>
          <t>USD</t>
        </is>
      </c>
      <c r="H140" s="7" t="inlineStr">
        <is>
          <t>2025-09-30 / 2025-12-31 / 2026-03-31 / 2026-06-30</t>
        </is>
      </c>
      <c r="I140" s="8" t="n">
        <v>276.892</v>
      </c>
      <c r="J140" s="8" t="n">
        <v>252.338</v>
      </c>
      <c r="K140" s="8" t="n">
        <v>268.437</v>
      </c>
      <c r="L140" s="8" t="n">
        <v>291.263</v>
      </c>
      <c r="M140" s="9" t="n">
        <v>16.92941993552608</v>
      </c>
      <c r="N140" s="8" t="n">
        <v>272.86017</v>
      </c>
      <c r="O140" s="10" t="inlineStr">
        <is>
          <t>淨利 +$17.7M
經常 +$57.8M
一次: +$4.0M（營收 1%）</t>
        </is>
      </c>
      <c r="P140" s="10" t="inlineStr">
        <is>
          <t>淨利 +$32.7M
經常 +$35.3M
一次: +$2.8M（營收 1%）</t>
        </is>
      </c>
      <c r="Q140" s="10" t="inlineStr">
        <is>
          <t>淨利 +$51.7M
經常 +$59.9M
一次: +$2.9M（營收 1%）</t>
        </is>
      </c>
      <c r="R140" s="10" t="inlineStr">
        <is>
          <t>淨利 +$72.8M
經常 +$85.5M
一次: +$3.4M（營收 1%）</t>
        </is>
      </c>
      <c r="S140" s="11" t="n">
        <v>0.38923</v>
      </c>
      <c r="T140" s="9" t="n">
        <v>29.36074956310963</v>
      </c>
      <c r="U140" s="9" t="n">
        <v>24.97948589419185</v>
      </c>
      <c r="V140" s="9" t="n">
        <v>70.64852040938946</v>
      </c>
      <c r="W140" s="10" t="inlineStr">
        <is>
          <t>+$3.4M・營收 1.2%</t>
        </is>
      </c>
      <c r="X140" s="10" t="inlineStr">
        <is>
          <t>四季皆正：+58 → +35 → +60 → +86（百萬）</t>
        </is>
      </c>
      <c r="Y140" s="10" t="inlineStr">
        <is>
          <t>四季營運皆正、最新季淨利為正 — 經常性已盈利</t>
        </is>
      </c>
      <c r="Z140" s="12" t="inlineStr">
        <is>
          <t>A</t>
        </is>
      </c>
      <c r="AA140" s="7" t="inlineStr">
        <is>
          <t>2026-06-30 / 2026-10-28</t>
        </is>
      </c>
    </row>
    <row r="141" ht="46" customHeight="1">
      <c r="A141" s="5" t="n">
        <v>140</v>
      </c>
      <c r="B141" s="6" t="inlineStr">
        <is>
          <t>MOD</t>
        </is>
      </c>
      <c r="C141" s="7" t="inlineStr">
        <is>
          <t>Modine Manufacturing Company</t>
        </is>
      </c>
      <c r="D141" s="7" t="inlineStr">
        <is>
          <t>Consumer Discretionary</t>
        </is>
      </c>
      <c r="E141" s="7" t="inlineStr">
        <is>
          <t>Auto Parts</t>
        </is>
      </c>
      <c r="F141" s="8" t="n">
        <v>10.33891973948058</v>
      </c>
      <c r="G141" s="5" t="inlineStr">
        <is>
          <t>USD</t>
        </is>
      </c>
      <c r="H141" s="7" t="inlineStr">
        <is>
          <t>2025-09-30 / 2025-12-31 / 2026-03-31 / 2026-06-30</t>
        </is>
      </c>
      <c r="I141" s="8" t="n">
        <v>738.9</v>
      </c>
      <c r="J141" s="8" t="n">
        <v>805</v>
      </c>
      <c r="K141" s="8" t="n">
        <v>954.4</v>
      </c>
      <c r="L141" s="8" t="n">
        <v>874.1</v>
      </c>
      <c r="M141" s="9" t="n">
        <v>28.01698886936146</v>
      </c>
      <c r="N141" s="8" t="n">
        <v>1040.81146</v>
      </c>
      <c r="O141" s="10" t="inlineStr">
        <is>
          <t>淨利 +$44.4M
經常 +$80.7M
一次: 無重大</t>
        </is>
      </c>
      <c r="P141" s="10" t="inlineStr">
        <is>
          <t>淨利 -$47.4M
經常 +$96.8M
一次: 無重大</t>
        </is>
      </c>
      <c r="Q141" s="10" t="inlineStr">
        <is>
          <t>淨利 +$73.3M
經常 +$113.0M
一次: 無重大</t>
        </is>
      </c>
      <c r="R141" s="10" t="inlineStr">
        <is>
          <t>淨利 +$73.9M
經常 +$78.7M
一次: 無重大</t>
        </is>
      </c>
      <c r="S141" s="11" t="n">
        <v>1.9476</v>
      </c>
      <c r="T141" s="9" t="n">
        <v>9.003546504976548</v>
      </c>
      <c r="U141" s="9" t="n">
        <v>8.454410250543416</v>
      </c>
      <c r="V141" s="9" t="n">
        <v>20.82141631392289</v>
      </c>
      <c r="W141" s="10" t="inlineStr">
        <is>
          <t>無重大</t>
        </is>
      </c>
      <c r="X141" s="10" t="inlineStr">
        <is>
          <t>四季皆正：+81 → +97 → +113 → +79（百萬）</t>
        </is>
      </c>
      <c r="Y141" s="10" t="inlineStr">
        <is>
          <t>四季營運皆正、最新季淨利為正 — 經常性已盈利</t>
        </is>
      </c>
      <c r="Z141" s="12" t="inlineStr">
        <is>
          <t>A</t>
        </is>
      </c>
      <c r="AA141" s="7" t="inlineStr">
        <is>
          <t>2026-06-30 / 2026-10-27</t>
        </is>
      </c>
    </row>
    <row r="142" ht="46" customHeight="1">
      <c r="A142" s="5" t="n">
        <v>141</v>
      </c>
      <c r="B142" s="6" t="inlineStr">
        <is>
          <t>FCFS</t>
        </is>
      </c>
      <c r="C142" s="7" t="inlineStr">
        <is>
          <t>FirstCash Holdings, Inc.</t>
        </is>
      </c>
      <c r="D142" s="7" t="inlineStr">
        <is>
          <t>Consumer Discretionary</t>
        </is>
      </c>
      <c r="E142" s="7" t="inlineStr">
        <is>
          <t>Credit Services</t>
        </is>
      </c>
      <c r="F142" s="8" t="n">
        <v>9.785545516000001</v>
      </c>
      <c r="G142" s="5" t="inlineStr">
        <is>
          <t>USD</t>
        </is>
      </c>
      <c r="H142" s="7" t="inlineStr">
        <is>
          <t>2025-06-30 / 2025-09-30 / 2025-12-31 / 2026-03-31</t>
        </is>
      </c>
      <c r="I142" s="8" t="n">
        <v>830.622</v>
      </c>
      <c r="J142" s="8" t="n">
        <v>935.579</v>
      </c>
      <c r="K142" s="8" t="n">
        <v>1058.419</v>
      </c>
      <c r="L142" s="8" t="n">
        <v>1051.651</v>
      </c>
      <c r="M142" s="9" t="n">
        <v>25.73195619919586</v>
      </c>
      <c r="N142" s="8" t="n">
        <v>1154.79</v>
      </c>
      <c r="O142" s="10" t="inlineStr">
        <is>
          <t>淨利 +$59.8M
經常 +$105.2M
一次: 無重大</t>
        </is>
      </c>
      <c r="P142" s="10" t="inlineStr">
        <is>
          <t>淨利 +$82.8M
經常 +$149.3M
一次: 無重大</t>
        </is>
      </c>
      <c r="Q142" s="10" t="inlineStr">
        <is>
          <t>淨利 +$104.2M
經常 +$172.1M
一次: 無重大</t>
        </is>
      </c>
      <c r="R142" s="10" t="inlineStr">
        <is>
          <t>淨利 +$107.7M
經常 +$175.7M
一次: 無重大</t>
        </is>
      </c>
      <c r="S142" s="11" t="n">
        <v>3.372</v>
      </c>
      <c r="T142" s="9" t="n">
        <v>16.70316483320036</v>
      </c>
      <c r="U142" s="9" t="n">
        <v>10.24123021800959</v>
      </c>
      <c r="V142" s="9" t="n">
        <v>51.57433407090374</v>
      </c>
      <c r="W142" s="10" t="inlineStr">
        <is>
          <t>無重大</t>
        </is>
      </c>
      <c r="X142" s="10" t="inlineStr">
        <is>
          <t>四季皆正：+105 → +149 → +172 → +176（百萬）</t>
        </is>
      </c>
      <c r="Y142" s="10" t="inlineStr">
        <is>
          <t>四季營運皆正、最新季淨利為正 — 經常性已盈利</t>
        </is>
      </c>
      <c r="Z142" s="12" t="inlineStr">
        <is>
          <t>A</t>
        </is>
      </c>
      <c r="AA142" s="7" t="inlineStr">
        <is>
          <t>2026-03-31 / 2026-10-22</t>
        </is>
      </c>
    </row>
    <row r="143" ht="46" customHeight="1">
      <c r="A143" s="5" t="n">
        <v>142</v>
      </c>
      <c r="B143" s="6" t="inlineStr">
        <is>
          <t>VOYA</t>
        </is>
      </c>
      <c r="C143" s="7" t="inlineStr">
        <is>
          <t>Voya Financial, Inc.</t>
        </is>
      </c>
      <c r="D143" s="7" t="inlineStr">
        <is>
          <t>Finance</t>
        </is>
      </c>
      <c r="E143" s="7" t="inlineStr">
        <is>
          <t>Financial Conglomerates</t>
        </is>
      </c>
      <c r="F143" s="8" t="n">
        <v>9.43017396762526</v>
      </c>
      <c r="G143" s="5" t="inlineStr">
        <is>
          <t>USD</t>
        </is>
      </c>
      <c r="H143" s="7" t="inlineStr">
        <is>
          <t>2025-09-30 / 2025-12-31 / 2026-03-31 / 2026-06-30</t>
        </is>
      </c>
      <c r="I143" s="8" t="n">
        <v>2074</v>
      </c>
      <c r="J143" s="8" t="n">
        <v>2050</v>
      </c>
      <c r="K143" s="8" t="n">
        <v>1993</v>
      </c>
      <c r="L143" s="8" t="n">
        <v>1901</v>
      </c>
      <c r="M143" s="9" t="n">
        <v>-1.298026998961577</v>
      </c>
      <c r="N143" s="8" t="n">
        <v>1994.94921</v>
      </c>
      <c r="O143" s="10" t="inlineStr">
        <is>
          <t>淨利 +$176.0M
經常* +$307.0M
一次: 無重大</t>
        </is>
      </c>
      <c r="P143" s="10" t="inlineStr">
        <is>
          <t>淨利 +$136.0M
經常* +$169.0M
一次: 無重大</t>
        </is>
      </c>
      <c r="Q143" s="10" t="inlineStr">
        <is>
          <t>淨利 +$165.0M
經常* +$230.0M
一次: 無重大</t>
        </is>
      </c>
      <c r="R143" s="10" t="inlineStr">
        <is>
          <t>淨利 +$90.0M
經常* +$34.0M
一次: 無重大</t>
        </is>
      </c>
      <c r="S143" s="11" t="n">
        <v>2.68473</v>
      </c>
      <c r="T143" s="9" t="n">
        <v>1.788532351394003</v>
      </c>
      <c r="U143" s="9" t="n">
        <v>4.734350341925302</v>
      </c>
      <c r="V143" s="9" t="n"/>
      <c r="W143" s="10" t="inlineStr">
        <is>
          <t>無重大</t>
        </is>
      </c>
      <c r="X143" s="10" t="inlineStr">
        <is>
          <t>四季皆正：+307 → +169 → +230 → +34（百萬）</t>
        </is>
      </c>
      <c r="Y143" s="10" t="inlineStr">
        <is>
          <t>四季營運皆正、最新季淨利為正 — 經常性已盈利</t>
        </is>
      </c>
      <c r="Z143" s="12" t="inlineStr">
        <is>
          <t>A</t>
        </is>
      </c>
      <c r="AA143" s="7" t="inlineStr">
        <is>
          <t>2026-06-30 / 2026-11-03</t>
        </is>
      </c>
    </row>
    <row r="144" ht="46" customHeight="1">
      <c r="A144" s="5" t="n">
        <v>143</v>
      </c>
      <c r="B144" s="6" t="inlineStr">
        <is>
          <t>TGTX</t>
        </is>
      </c>
      <c r="C144" s="7" t="inlineStr">
        <is>
          <t>TG Therapeutics, Inc.</t>
        </is>
      </c>
      <c r="D144" s="7" t="inlineStr">
        <is>
          <t>Health Care</t>
        </is>
      </c>
      <c r="E144" s="7" t="inlineStr">
        <is>
          <t>Biotechnology</t>
        </is>
      </c>
      <c r="F144" s="8" t="n">
        <v>8.56957093249456</v>
      </c>
      <c r="G144" s="5" t="inlineStr">
        <is>
          <t>USD</t>
        </is>
      </c>
      <c r="H144" s="7" t="inlineStr">
        <is>
          <t>2025-09-30 / 2025-12-31 / 2026-03-31 / 2026-06-30</t>
        </is>
      </c>
      <c r="I144" s="8" t="n">
        <v>161.709</v>
      </c>
      <c r="J144" s="8" t="n">
        <v>192.574</v>
      </c>
      <c r="K144" s="8" t="n">
        <v>204.918</v>
      </c>
      <c r="L144" s="8" t="n">
        <v>240.335</v>
      </c>
      <c r="M144" s="9" t="n">
        <v>70.27162977867205</v>
      </c>
      <c r="N144" s="8" t="n">
        <v>267.86322</v>
      </c>
      <c r="O144" s="10" t="inlineStr">
        <is>
          <t>淨利 +$390.9M
經常 +$29.4M
一次: 無重大</t>
        </is>
      </c>
      <c r="P144" s="10" t="inlineStr">
        <is>
          <t>淨利 +$23.0M
經常 +$50.5M
一次: 無重大</t>
        </is>
      </c>
      <c r="Q144" s="10" t="inlineStr">
        <is>
          <t>淨利 +$19.8M
經常 +$34.8M
一次: -$8.9M（營收 4%）</t>
        </is>
      </c>
      <c r="R144" s="10" t="inlineStr">
        <is>
          <t>淨利 +$7.8M
經常 +$21.7M
一次: 無重大</t>
        </is>
      </c>
      <c r="S144" s="11" t="n">
        <v>0.445</v>
      </c>
      <c r="T144" s="9" t="n">
        <v>9.018245365843509</v>
      </c>
      <c r="U144" s="9" t="n">
        <v>3.237564233257744</v>
      </c>
      <c r="V144" s="9" t="n">
        <v>82.85975825410364</v>
      </c>
      <c r="W144" s="10" t="inlineStr">
        <is>
          <t>無重大</t>
        </is>
      </c>
      <c r="X144" s="10" t="inlineStr">
        <is>
          <t>四季皆正：+29 → +50 → +35 → +22（百萬）</t>
        </is>
      </c>
      <c r="Y144" s="10" t="inlineStr">
        <is>
          <t>四季營運皆正、最新季淨利為正 — 經常性已盈利</t>
        </is>
      </c>
      <c r="Z144" s="12" t="inlineStr">
        <is>
          <t>A</t>
        </is>
      </c>
      <c r="AA144" s="7" t="inlineStr">
        <is>
          <t>2026-06-30 / 2026-11-02</t>
        </is>
      </c>
    </row>
    <row r="145" ht="46" customHeight="1">
      <c r="A145" s="5" t="n">
        <v>144</v>
      </c>
      <c r="B145" s="6" t="inlineStr">
        <is>
          <t>CHRD</t>
        </is>
      </c>
      <c r="C145" s="7" t="inlineStr">
        <is>
          <t>Chord Energy Corporation</t>
        </is>
      </c>
      <c r="D145" s="7" t="inlineStr">
        <is>
          <t>Energy</t>
        </is>
      </c>
      <c r="E145" s="7" t="inlineStr">
        <is>
          <t>Oil &amp; Gas E&amp;P</t>
        </is>
      </c>
      <c r="F145" s="8" t="n">
        <v>8.007221481758725</v>
      </c>
      <c r="G145" s="5" t="inlineStr">
        <is>
          <t>USD</t>
        </is>
      </c>
      <c r="H145" s="7" t="inlineStr">
        <is>
          <t>2025-09-30 / 2025-12-31 / 2026-03-31 / 2026-06-30</t>
        </is>
      </c>
      <c r="I145" s="8" t="n">
        <v>1312.081</v>
      </c>
      <c r="J145" s="8" t="n">
        <v>1169.439</v>
      </c>
      <c r="K145" s="8" t="n">
        <v>1665.635</v>
      </c>
      <c r="L145" s="8" t="n">
        <v>2172.685</v>
      </c>
      <c r="M145" s="9" t="n">
        <v>84.03850714914955</v>
      </c>
      <c r="N145" s="8" t="n">
        <v>1405.73606</v>
      </c>
      <c r="O145" s="10" t="inlineStr">
        <is>
          <t>淨利 +$129.4M
經常 +$171.2M
一次: +$15.6M（營收 1%）</t>
        </is>
      </c>
      <c r="P145" s="10" t="inlineStr">
        <is>
          <t>淨利 +$84.0M
經常 +$87.8M
一次: +$35.7M（營收 3%）</t>
        </is>
      </c>
      <c r="Q145" s="10" t="inlineStr">
        <is>
          <t>淨利 +$107.8M
經常 +$332.9M
一次: -$144.7M（營收 9%）</t>
        </is>
      </c>
      <c r="R145" s="10" t="inlineStr">
        <is>
          <t>淨利 +$520.9M
經常 +$605.4M
一次: +$80.4M（營收 4%）</t>
        </is>
      </c>
      <c r="S145" s="11" t="n">
        <v>3.81367</v>
      </c>
      <c r="T145" s="9" t="n">
        <v>27.86464673894283</v>
      </c>
      <c r="U145" s="9" t="n">
        <v>23.97692256355615</v>
      </c>
      <c r="V145" s="9" t="n">
        <v>29.24054798555704</v>
      </c>
      <c r="W145" s="10" t="inlineStr">
        <is>
          <t>+$80.4M・營收 3.7%</t>
        </is>
      </c>
      <c r="X145" s="10" t="inlineStr">
        <is>
          <t>四季皆正：+171 → +88 → +333 → +605（百萬）</t>
        </is>
      </c>
      <c r="Y145" s="10" t="inlineStr">
        <is>
          <t>四季營運皆正、最新季淨利為正 — 經常性已盈利</t>
        </is>
      </c>
      <c r="Z145" s="12" t="inlineStr">
        <is>
          <t>A</t>
        </is>
      </c>
      <c r="AA145" s="7" t="inlineStr">
        <is>
          <t>2026-06-30 / 2026-11-03</t>
        </is>
      </c>
    </row>
    <row r="146" ht="46" customHeight="1">
      <c r="A146" s="5" t="n">
        <v>145</v>
      </c>
      <c r="B146" s="6" t="inlineStr">
        <is>
          <t>GAP</t>
        </is>
      </c>
      <c r="C146" s="7" t="inlineStr">
        <is>
          <t>The Gap, Inc.</t>
        </is>
      </c>
      <c r="D146" s="7" t="inlineStr">
        <is>
          <t>Consumer Discretionary</t>
        </is>
      </c>
      <c r="E146" s="7" t="inlineStr">
        <is>
          <t>Apparel Retail</t>
        </is>
      </c>
      <c r="F146" s="8" t="n">
        <v>7.878989172547576</v>
      </c>
      <c r="G146" s="5" t="inlineStr">
        <is>
          <t>USD</t>
        </is>
      </c>
      <c r="H146" s="7" t="inlineStr">
        <is>
          <t>2025-10-31 / 2026-01-31 / 2026-04-30 / 2026-07-31</t>
        </is>
      </c>
      <c r="I146" s="8" t="n">
        <v>3942</v>
      </c>
      <c r="J146" s="8" t="n">
        <v>4236</v>
      </c>
      <c r="K146" s="8" t="n">
        <v>3497</v>
      </c>
      <c r="L146" s="8" t="n">
        <v>3651</v>
      </c>
      <c r="M146" s="9" t="n">
        <v>-1.986577181208049</v>
      </c>
      <c r="N146" s="8" t="n">
        <v>4371.2752</v>
      </c>
      <c r="O146" s="10" t="inlineStr">
        <is>
          <t>淨利 +$236.0M
經常 +$334.0M
一次: 無重大</t>
        </is>
      </c>
      <c r="P146" s="10" t="inlineStr">
        <is>
          <t>淨利 +$171.0M
經常 +$229.0M
一次: 無重大</t>
        </is>
      </c>
      <c r="Q146" s="10" t="inlineStr">
        <is>
          <t>淨利 +$339.0M
經常 +$445.0M
一次: 無重大</t>
        </is>
      </c>
      <c r="R146" s="10" t="inlineStr">
        <is>
          <t>淨利 +$501.0M
經常 +$676.0M
一次: 無重大</t>
        </is>
      </c>
      <c r="S146" s="11" t="n">
        <v>0.71896</v>
      </c>
      <c r="T146" s="9" t="n">
        <v>18.51547521227061</v>
      </c>
      <c r="U146" s="9" t="n">
        <v>13.72226787181594</v>
      </c>
      <c r="V146" s="9" t="n">
        <v>52.83483976992605</v>
      </c>
      <c r="W146" s="10" t="inlineStr">
        <is>
          <t>無重大</t>
        </is>
      </c>
      <c r="X146" s="10" t="inlineStr">
        <is>
          <t>四季皆正：+334 → +229 → +445 → +676（百萬）</t>
        </is>
      </c>
      <c r="Y146" s="10" t="inlineStr">
        <is>
          <t>四季營運皆正、最新季淨利為正 — 經常性已盈利</t>
        </is>
      </c>
      <c r="Z146" s="12" t="inlineStr">
        <is>
          <t>A</t>
        </is>
      </c>
      <c r="AA146" s="7" t="inlineStr">
        <is>
          <t>2026-07-31 / 2026-11-19</t>
        </is>
      </c>
    </row>
    <row r="147" ht="46" customHeight="1">
      <c r="A147" s="5" t="n">
        <v>146</v>
      </c>
      <c r="B147" s="6" t="inlineStr">
        <is>
          <t>SOBO</t>
        </is>
      </c>
      <c r="C147" s="7" t="inlineStr">
        <is>
          <t>South Bow Corporation</t>
        </is>
      </c>
      <c r="D147" s="7" t="inlineStr">
        <is>
          <t>Energy</t>
        </is>
      </c>
      <c r="E147" s="7" t="inlineStr">
        <is>
          <t>Oil &amp; Gas Midstream</t>
        </is>
      </c>
      <c r="F147" s="8" t="n">
        <v>7.728060430531916</v>
      </c>
      <c r="G147" s="5" t="inlineStr">
        <is>
          <t>USD</t>
        </is>
      </c>
      <c r="H147" s="7" t="inlineStr">
        <is>
          <t>2025-09-30 / 2025-12-31 / 2026-03-31 / 2026-06-30</t>
        </is>
      </c>
      <c r="I147" s="8" t="n">
        <v>461</v>
      </c>
      <c r="J147" s="8" t="n">
        <v>503</v>
      </c>
      <c r="K147" s="8" t="n">
        <v>491</v>
      </c>
      <c r="L147" s="8" t="n">
        <v>546</v>
      </c>
      <c r="M147" s="9" t="n">
        <v>4.198473282442738</v>
      </c>
      <c r="N147" s="8" t="n">
        <v>495.13649</v>
      </c>
      <c r="O147" s="10" t="inlineStr">
        <is>
          <t>淨利 +$93.0M
經常 +$147.0M
一次: +$17.9M（營收 4%）</t>
        </is>
      </c>
      <c r="P147" s="10" t="inlineStr">
        <is>
          <t>淨利 +$156.0M
經常 +$204.0M
一次: 無重大</t>
        </is>
      </c>
      <c r="Q147" s="10" t="inlineStr">
        <is>
          <t>淨利 +$77.0M
經常 +$160.0M
一次: 無重大</t>
        </is>
      </c>
      <c r="R147" s="10" t="inlineStr">
        <is>
          <t>淨利 +$134.0M
經常 +$239.0M
一次: 無重大</t>
        </is>
      </c>
      <c r="S147" s="11" t="n">
        <v>0.44337</v>
      </c>
      <c r="T147" s="9" t="n">
        <v>43.77289377289377</v>
      </c>
      <c r="U147" s="9" t="n">
        <v>24.54212454212454</v>
      </c>
      <c r="V147" s="9" t="n">
        <v>76.92307692307693</v>
      </c>
      <c r="W147" s="10" t="inlineStr">
        <is>
          <t>無重大</t>
        </is>
      </c>
      <c r="X147" s="10" t="inlineStr">
        <is>
          <t>四季皆正：+147 → +204 → +160 → +239（百萬）</t>
        </is>
      </c>
      <c r="Y147" s="10" t="inlineStr">
        <is>
          <t>四季營運皆正、最新季淨利為正 — 經常性已盈利</t>
        </is>
      </c>
      <c r="Z147" s="12" t="inlineStr">
        <is>
          <t>A</t>
        </is>
      </c>
      <c r="AA147" s="7" t="inlineStr">
        <is>
          <t>2026-06-30 / 2026-11-04</t>
        </is>
      </c>
    </row>
    <row r="148" ht="46" customHeight="1">
      <c r="A148" s="5" t="n">
        <v>147</v>
      </c>
      <c r="B148" s="6" t="inlineStr">
        <is>
          <t>DUOL</t>
        </is>
      </c>
      <c r="C148" s="7" t="inlineStr">
        <is>
          <t>Duolingo, Inc.</t>
        </is>
      </c>
      <c r="D148" s="7" t="inlineStr">
        <is>
          <t>Technology</t>
        </is>
      </c>
      <c r="E148" s="7" t="inlineStr">
        <is>
          <t>Software - Application</t>
        </is>
      </c>
      <c r="F148" s="8" t="n">
        <v>7.226607109810224</v>
      </c>
      <c r="G148" s="5" t="inlineStr">
        <is>
          <t>USD</t>
        </is>
      </c>
      <c r="H148" s="7" t="inlineStr">
        <is>
          <t>2025-09-30 / 2025-12-31 / 2026-03-31 / 2026-06-30</t>
        </is>
      </c>
      <c r="I148" s="8" t="n">
        <v>271.713</v>
      </c>
      <c r="J148" s="8" t="n">
        <v>282.868</v>
      </c>
      <c r="K148" s="8" t="n">
        <v>291.967</v>
      </c>
      <c r="L148" s="8" t="n">
        <v>298.454</v>
      </c>
      <c r="M148" s="9" t="n">
        <v>18.30971399123937</v>
      </c>
      <c r="N148" s="8" t="n">
        <v>314.27019</v>
      </c>
      <c r="O148" s="10" t="inlineStr">
        <is>
          <t>淨利 +$292.2M
經常 +$35.2M
一次: 無重大</t>
        </is>
      </c>
      <c r="P148" s="10" t="inlineStr">
        <is>
          <t>淨利 +$42.0M
經常 +$43.5M
一次: 無重大</t>
        </is>
      </c>
      <c r="Q148" s="10" t="inlineStr">
        <is>
          <t>淨利 +$43.5M
經常 +$44.5M
一次: 無重大</t>
        </is>
      </c>
      <c r="R148" s="10" t="inlineStr">
        <is>
          <t>淨利 +$33.2M
經常 +$33.9M
一次: 無重大</t>
        </is>
      </c>
      <c r="S148" s="11" t="n">
        <v>1.69766</v>
      </c>
      <c r="T148" s="9" t="n">
        <v>11.37361201391169</v>
      </c>
      <c r="U148" s="9" t="n">
        <v>11.10991978663379</v>
      </c>
      <c r="V148" s="9" t="n">
        <v>72.62090640433702</v>
      </c>
      <c r="W148" s="10" t="inlineStr">
        <is>
          <t>無重大</t>
        </is>
      </c>
      <c r="X148" s="10" t="inlineStr">
        <is>
          <t>四季皆正：+35 → +43 → +45 → +34（百萬）</t>
        </is>
      </c>
      <c r="Y148" s="10" t="inlineStr">
        <is>
          <t>四季營運皆正、最新季淨利為正 — 經常性已盈利</t>
        </is>
      </c>
      <c r="Z148" s="12" t="inlineStr">
        <is>
          <t>A</t>
        </is>
      </c>
      <c r="AA148" s="7" t="inlineStr">
        <is>
          <t>2026-06-30 / 2026-11-04</t>
        </is>
      </c>
    </row>
    <row r="149" ht="46" customHeight="1">
      <c r="A149" s="5" t="n">
        <v>148</v>
      </c>
      <c r="B149" s="6" t="inlineStr">
        <is>
          <t>URBN</t>
        </is>
      </c>
      <c r="C149" s="7" t="inlineStr">
        <is>
          <t>Urban Outfitters, Inc.</t>
        </is>
      </c>
      <c r="D149" s="7" t="inlineStr">
        <is>
          <t>Consumer Discretionary</t>
        </is>
      </c>
      <c r="E149" s="7" t="inlineStr">
        <is>
          <t>Apparel Retail</t>
        </is>
      </c>
      <c r="F149" s="8" t="n">
        <v>6.933872670048002</v>
      </c>
      <c r="G149" s="5" t="inlineStr">
        <is>
          <t>USD</t>
        </is>
      </c>
      <c r="H149" s="7" t="inlineStr">
        <is>
          <t>2025-07-31 / 2025-10-31 / 2026-01-31 / 2026-04-30</t>
        </is>
      </c>
      <c r="I149" s="8" t="n">
        <v>1504.755</v>
      </c>
      <c r="J149" s="8" t="n">
        <v>1529.35</v>
      </c>
      <c r="K149" s="8" t="n">
        <v>1801.77</v>
      </c>
      <c r="L149" s="8" t="n">
        <v>1481.345</v>
      </c>
      <c r="M149" s="9" t="n">
        <v>11.42112717478212</v>
      </c>
      <c r="N149" s="8" t="n">
        <v>1939.43582</v>
      </c>
      <c r="O149" s="10" t="inlineStr">
        <is>
          <t>淨利 +$143.9M
經常 +$174.4M
一次: 無重大</t>
        </is>
      </c>
      <c r="P149" s="10" t="inlineStr">
        <is>
          <t>淨利 +$116.4M
經常 +$144.3M
一次: 無重大</t>
        </is>
      </c>
      <c r="Q149" s="10" t="inlineStr">
        <is>
          <t>淨利 +$96.3M
經常 +$158.7M
一次: 無重大</t>
        </is>
      </c>
      <c r="R149" s="10" t="inlineStr">
        <is>
          <t>淨利 +$115.7M
經常 +$139.7M
一次: 無重大</t>
        </is>
      </c>
      <c r="S149" s="11" t="n">
        <v>1.64511</v>
      </c>
      <c r="T149" s="9" t="n">
        <v>9.429336177595362</v>
      </c>
      <c r="U149" s="9" t="n">
        <v>7.810807070601379</v>
      </c>
      <c r="V149" s="9" t="n">
        <v>36.62657922361097</v>
      </c>
      <c r="W149" s="10" t="inlineStr">
        <is>
          <t>無重大</t>
        </is>
      </c>
      <c r="X149" s="10" t="inlineStr">
        <is>
          <t>四季皆正：+174 → +144 → +159 → +140（百萬）</t>
        </is>
      </c>
      <c r="Y149" s="10" t="inlineStr">
        <is>
          <t>四季營運皆正、最新季淨利為正 — 經常性已盈利</t>
        </is>
      </c>
      <c r="Z149" s="12" t="inlineStr">
        <is>
          <t>A</t>
        </is>
      </c>
      <c r="AA149" s="7" t="inlineStr">
        <is>
          <t>2026-04-30 / 2026-11-25</t>
        </is>
      </c>
    </row>
    <row r="150" ht="46" customHeight="1">
      <c r="A150" s="5" t="n">
        <v>149</v>
      </c>
      <c r="B150" s="6" t="inlineStr">
        <is>
          <t>MATX</t>
        </is>
      </c>
      <c r="C150" s="7" t="inlineStr">
        <is>
          <t>Matson, Inc.</t>
        </is>
      </c>
      <c r="D150" s="7" t="inlineStr">
        <is>
          <t>Consumer Discretionary</t>
        </is>
      </c>
      <c r="E150" s="7" t="inlineStr">
        <is>
          <t>Marine Shipping</t>
        </is>
      </c>
      <c r="F150" s="8" t="n">
        <v>6.745921089959861</v>
      </c>
      <c r="G150" s="5" t="inlineStr">
        <is>
          <t>USD</t>
        </is>
      </c>
      <c r="H150" s="7" t="inlineStr">
        <is>
          <t>2025-06-30 / 2025-09-30 / 2025-12-31 / 2026-03-31</t>
        </is>
      </c>
      <c r="I150" s="8" t="n">
        <v>830.5</v>
      </c>
      <c r="J150" s="8" t="n">
        <v>880.1</v>
      </c>
      <c r="K150" s="8" t="n">
        <v>851.9</v>
      </c>
      <c r="L150" s="8" t="n">
        <v>757.8</v>
      </c>
      <c r="M150" s="9" t="n">
        <v>-3.094629156010231</v>
      </c>
      <c r="N150" s="8" t="n">
        <v>868.3</v>
      </c>
      <c r="O150" s="10" t="inlineStr">
        <is>
          <t>淨利 +$94.7M
經常 +$105.7M
一次: 無重大</t>
        </is>
      </c>
      <c r="P150" s="10" t="inlineStr">
        <is>
          <t>淨利 +$134.7M
經常 +$151.7M
一次: 無重大</t>
        </is>
      </c>
      <c r="Q150" s="10" t="inlineStr">
        <is>
          <t>淨利 +$143.1M
經常 +$134.4M
一次: 無重大</t>
        </is>
      </c>
      <c r="R150" s="10" t="inlineStr">
        <is>
          <t>淨利 +$56.6M
經常 +$56.4M
一次: 無重大</t>
        </is>
      </c>
      <c r="S150" s="11" t="n">
        <v>3.84134</v>
      </c>
      <c r="T150" s="9" t="n">
        <v>7.442596991290579</v>
      </c>
      <c r="U150" s="9" t="n">
        <v>7.468989179202956</v>
      </c>
      <c r="V150" s="9" t="n">
        <v>17.66956980733703</v>
      </c>
      <c r="W150" s="10" t="inlineStr">
        <is>
          <t>無重大</t>
        </is>
      </c>
      <c r="X150" s="10" t="inlineStr">
        <is>
          <t>四季皆正：+106 → +152 → +134 → +56（百萬）</t>
        </is>
      </c>
      <c r="Y150" s="10" t="inlineStr">
        <is>
          <t>四季營運皆正、最新季淨利為正 — 經常性已盈利</t>
        </is>
      </c>
      <c r="Z150" s="12" t="inlineStr">
        <is>
          <t>A</t>
        </is>
      </c>
      <c r="AA150" s="7" t="inlineStr">
        <is>
          <t>2026-03-31 / 2026-11-04</t>
        </is>
      </c>
    </row>
    <row r="151" ht="46" customHeight="1">
      <c r="A151" s="5" t="n">
        <v>150</v>
      </c>
      <c r="B151" s="6" t="inlineStr">
        <is>
          <t>UBSI</t>
        </is>
      </c>
      <c r="C151" s="7" t="inlineStr">
        <is>
          <t>United Bankshares, Inc.</t>
        </is>
      </c>
      <c r="D151" s="7" t="inlineStr">
        <is>
          <t>Finance</t>
        </is>
      </c>
      <c r="E151" s="7" t="inlineStr">
        <is>
          <t>Banks - Regional</t>
        </is>
      </c>
      <c r="F151" s="8" t="n">
        <v>6.515047271230817</v>
      </c>
      <c r="G151" s="5" t="inlineStr">
        <is>
          <t>USD</t>
        </is>
      </c>
      <c r="H151" s="7" t="inlineStr">
        <is>
          <t>2025-09-30 / 2025-12-31 / 2026-03-31 / 2026-06-30</t>
        </is>
      </c>
      <c r="I151" s="8" t="n">
        <v>322.743</v>
      </c>
      <c r="J151" s="8" t="n">
        <v>317.968</v>
      </c>
      <c r="K151" s="8" t="n">
        <v>315.955</v>
      </c>
      <c r="L151" s="8" t="n">
        <v>323.15</v>
      </c>
      <c r="M151" s="9" t="n">
        <v>5.814475118945106</v>
      </c>
      <c r="N151" s="8" t="n">
        <v>328.1</v>
      </c>
      <c r="O151" s="10" t="inlineStr">
        <is>
          <t>淨利 +$130.5M
經常* +$164.5M
一次: 無重大</t>
        </is>
      </c>
      <c r="P151" s="10" t="inlineStr">
        <is>
          <t>淨利 +$128.5M
經常* +$159.8M
一次: 無重大</t>
        </is>
      </c>
      <c r="Q151" s="10" t="inlineStr">
        <is>
          <t>淨利 +$124.0M
經常* +$156.0M
一次: 無重大</t>
        </is>
      </c>
      <c r="R151" s="10" t="inlineStr">
        <is>
          <t>淨利 +$131.4M
經常* +$164.2M
一次: 無重大</t>
        </is>
      </c>
      <c r="S151" s="11" t="n">
        <v>0.946</v>
      </c>
      <c r="T151" s="9" t="n">
        <v>50.80353219597215</v>
      </c>
      <c r="U151" s="9" t="n">
        <v>40.65511372427666</v>
      </c>
      <c r="V151" s="9" t="n"/>
      <c r="W151" s="10" t="inlineStr">
        <is>
          <t>無重大</t>
        </is>
      </c>
      <c r="X151" s="10" t="inlineStr">
        <is>
          <t>四季皆正：+164 → +160 → +156 → +164（百萬）</t>
        </is>
      </c>
      <c r="Y151" s="10" t="inlineStr">
        <is>
          <t>四季營運皆正、最新季淨利為正 — 經常性已盈利</t>
        </is>
      </c>
      <c r="Z151" s="12" t="inlineStr">
        <is>
          <t>A</t>
        </is>
      </c>
      <c r="AA151" s="7" t="inlineStr">
        <is>
          <t>2026-06-30 / 2026-10-22</t>
        </is>
      </c>
    </row>
    <row r="152" ht="46" customHeight="1">
      <c r="A152" s="5" t="n">
        <v>151</v>
      </c>
      <c r="B152" s="6" t="inlineStr">
        <is>
          <t>LQDA</t>
        </is>
      </c>
      <c r="C152" s="7" t="inlineStr">
        <is>
          <t>Liquidia Corporation</t>
        </is>
      </c>
      <c r="D152" s="7" t="inlineStr">
        <is>
          <t>Health Care</t>
        </is>
      </c>
      <c r="E152" s="7" t="inlineStr">
        <is>
          <t>Drug Manufacturers - Specialty &amp; Generic</t>
        </is>
      </c>
      <c r="F152" s="8" t="n">
        <v>6.145680455907761</v>
      </c>
      <c r="G152" s="5" t="inlineStr">
        <is>
          <t>USD</t>
        </is>
      </c>
      <c r="H152" s="7" t="inlineStr">
        <is>
          <t>2025-09-30 / 2025-12-31 / 2026-03-31 / 2026-06-30</t>
        </is>
      </c>
      <c r="I152" s="8" t="n">
        <v>54.342</v>
      </c>
      <c r="J152" s="8" t="n">
        <v>92.021</v>
      </c>
      <c r="K152" s="8" t="n">
        <v>132.865</v>
      </c>
      <c r="L152" s="8" t="n">
        <v>171.679</v>
      </c>
      <c r="M152" s="9" t="n">
        <v>1842.72943306552</v>
      </c>
      <c r="N152" s="8" t="n">
        <v>228.48186</v>
      </c>
      <c r="O152" s="10" t="inlineStr">
        <is>
          <t>淨利 -$3.5M
經常 +$1.8M
一次: 無重大</t>
        </is>
      </c>
      <c r="P152" s="10" t="inlineStr">
        <is>
          <t>淨利 +$14.6M
經常 +$19.8M
一次: 無重大</t>
        </is>
      </c>
      <c r="Q152" s="10" t="inlineStr">
        <is>
          <t>淨利 +$52.9M
經常 +$61.5M
一次: 無重大</t>
        </is>
      </c>
      <c r="R152" s="10" t="inlineStr">
        <is>
          <t>淨利 +$74.7M
經常 +$85.5M
一次: 無重大</t>
        </is>
      </c>
      <c r="S152" s="11" t="n">
        <v>1.004</v>
      </c>
      <c r="T152" s="9" t="n">
        <v>49.8121494183913</v>
      </c>
      <c r="U152" s="9" t="n">
        <v>43.52425165570629</v>
      </c>
      <c r="V152" s="9" t="n">
        <v>93.27232800750237</v>
      </c>
      <c r="W152" s="10" t="inlineStr">
        <is>
          <t>無重大</t>
        </is>
      </c>
      <c r="X152" s="10" t="inlineStr">
        <is>
          <t>四季皆正：+2 → +20 → +62 → +86（百萬）</t>
        </is>
      </c>
      <c r="Y152" s="10" t="inlineStr">
        <is>
          <t>四季營運皆正、最新季淨利為正 — 經常性已盈利</t>
        </is>
      </c>
      <c r="Z152" s="12" t="inlineStr">
        <is>
          <t>A</t>
        </is>
      </c>
      <c r="AA152" s="7" t="inlineStr">
        <is>
          <t>2026-06-30 / 2026-11-03</t>
        </is>
      </c>
    </row>
    <row r="153" ht="46" customHeight="1">
      <c r="A153" s="5" t="n">
        <v>152</v>
      </c>
      <c r="B153" s="6" t="inlineStr">
        <is>
          <t>KNSA</t>
        </is>
      </c>
      <c r="C153" s="7" t="inlineStr">
        <is>
          <t>Kiniksa Pharmaceuticals International, plc</t>
        </is>
      </c>
      <c r="D153" s="7" t="inlineStr">
        <is>
          <t>Health Care</t>
        </is>
      </c>
      <c r="E153" s="7" t="inlineStr">
        <is>
          <t>Drug Manufacturers - Specialty &amp; Generic</t>
        </is>
      </c>
      <c r="F153" s="8" t="n">
        <v>6.078850852732246</v>
      </c>
      <c r="G153" s="5" t="inlineStr">
        <is>
          <t>USD</t>
        </is>
      </c>
      <c r="H153" s="7" t="inlineStr">
        <is>
          <t>2025-09-30 / 2025-12-31 / 2026-03-31 / 2026-06-30</t>
        </is>
      </c>
      <c r="I153" s="8" t="n">
        <v>180.855</v>
      </c>
      <c r="J153" s="8" t="n">
        <v>202.127</v>
      </c>
      <c r="K153" s="8" t="n">
        <v>214.266</v>
      </c>
      <c r="L153" s="8" t="n">
        <v>243.6</v>
      </c>
      <c r="M153" s="9" t="n">
        <v>55.3601153083286</v>
      </c>
      <c r="N153" s="8" t="n">
        <v>276.1382</v>
      </c>
      <c r="O153" s="10" t="inlineStr">
        <is>
          <t>淨利 +$18.4M
經常 +$24.0M
一次: 無重大</t>
        </is>
      </c>
      <c r="P153" s="10" t="inlineStr">
        <is>
          <t>淨利 +$14.2M
經常 +$19.8M
一次: 無重大</t>
        </is>
      </c>
      <c r="Q153" s="10" t="inlineStr">
        <is>
          <t>淨利 +$22.6M
經常 +$29.3M
一次: 無重大</t>
        </is>
      </c>
      <c r="R153" s="10" t="inlineStr">
        <is>
          <t>淨利 +$25.4M
經常 +$27.2M
一次: 無重大</t>
        </is>
      </c>
      <c r="S153" s="11" t="n">
        <v>0.2875</v>
      </c>
      <c r="T153" s="9" t="n">
        <v>11.16338259441708</v>
      </c>
      <c r="U153" s="9" t="n">
        <v>10.44006568144499</v>
      </c>
      <c r="V153" s="9" t="n">
        <v>54.17036124794746</v>
      </c>
      <c r="W153" s="10" t="inlineStr">
        <is>
          <t>無重大</t>
        </is>
      </c>
      <c r="X153" s="10" t="inlineStr">
        <is>
          <t>四季皆正：+24 → +20 → +29 → +27（百萬）</t>
        </is>
      </c>
      <c r="Y153" s="10" t="inlineStr">
        <is>
          <t>四季營運皆正、最新季淨利為正 — 經常性已盈利</t>
        </is>
      </c>
      <c r="Z153" s="12" t="inlineStr">
        <is>
          <t>A</t>
        </is>
      </c>
      <c r="AA153" s="7" t="inlineStr">
        <is>
          <t>2026-06-30 / 2026-10-27</t>
        </is>
      </c>
    </row>
    <row r="154" ht="46" customHeight="1">
      <c r="A154" s="5" t="n">
        <v>153</v>
      </c>
      <c r="B154" s="6" t="inlineStr">
        <is>
          <t>AMRX</t>
        </is>
      </c>
      <c r="C154" s="7" t="inlineStr">
        <is>
          <t>Amneal Pharmaceuticals, Inc.</t>
        </is>
      </c>
      <c r="D154" s="7" t="inlineStr">
        <is>
          <t>Health Care</t>
        </is>
      </c>
      <c r="E154" s="7" t="inlineStr">
        <is>
          <t>Drug Manufacturers - Specialty &amp; Generic</t>
        </is>
      </c>
      <c r="F154" s="8" t="n">
        <v>6.074282536301027</v>
      </c>
      <c r="G154" s="5" t="inlineStr">
        <is>
          <t>USD</t>
        </is>
      </c>
      <c r="H154" s="7" t="inlineStr">
        <is>
          <t>2025-09-30 / 2025-12-31 / 2026-03-31 / 2026-06-30</t>
        </is>
      </c>
      <c r="I154" s="8" t="n">
        <v>784.513</v>
      </c>
      <c r="J154" s="8" t="n">
        <v>814.319</v>
      </c>
      <c r="K154" s="8" t="n">
        <v>722.519</v>
      </c>
      <c r="L154" s="8" t="n">
        <v>796.197</v>
      </c>
      <c r="M154" s="9" t="n">
        <v>9.894852782854024</v>
      </c>
      <c r="N154" s="8" t="n">
        <v>827.0001999999999</v>
      </c>
      <c r="O154" s="10" t="inlineStr">
        <is>
          <t>淨利 +$2.4M
經常 +$70.5M
一次: +$13.6M（營收 2%）</t>
        </is>
      </c>
      <c r="P154" s="10" t="inlineStr">
        <is>
          <t>淨利 +$35.1M
經常 +$114.5M
一次: -$14.5M（營收 2%）</t>
        </is>
      </c>
      <c r="Q154" s="10" t="inlineStr">
        <is>
          <t>淨利 +$62.3M
經常 +$148.3M
一次: -$11.6M（營收 2%）</t>
        </is>
      </c>
      <c r="R154" s="10" t="inlineStr">
        <is>
          <t>淨利 +$57.7M
經常 +$146.0M
一次: -$20.2M（營收 3%）</t>
        </is>
      </c>
      <c r="S154" s="11" t="n">
        <v>0.23274</v>
      </c>
      <c r="T154" s="9" t="n">
        <v>18.33465838228479</v>
      </c>
      <c r="U154" s="9" t="n">
        <v>7.24217750129679</v>
      </c>
      <c r="V154" s="9" t="n">
        <v>42.01322034622085</v>
      </c>
      <c r="W154" s="10" t="inlineStr">
        <is>
          <t>-$20.2M・營收 2.5%</t>
        </is>
      </c>
      <c r="X154" s="10" t="inlineStr">
        <is>
          <t>四季皆正：+70 → +115 → +148 → +146（百萬）</t>
        </is>
      </c>
      <c r="Y154" s="10" t="inlineStr">
        <is>
          <t>四季營運皆正、最新季淨利為正 — 經常性已盈利</t>
        </is>
      </c>
      <c r="Z154" s="12" t="inlineStr">
        <is>
          <t>A</t>
        </is>
      </c>
      <c r="AA154" s="7" t="inlineStr">
        <is>
          <t>2026-06-30 / 2026-10-29</t>
        </is>
      </c>
    </row>
    <row r="155" ht="46" customHeight="1">
      <c r="A155" s="5" t="n">
        <v>154</v>
      </c>
      <c r="B155" s="6" t="inlineStr">
        <is>
          <t>RUSHB</t>
        </is>
      </c>
      <c r="C155" s="7" t="inlineStr">
        <is>
          <t>Rush Enterprises, Inc.</t>
        </is>
      </c>
      <c r="D155" s="7" t="inlineStr">
        <is>
          <t>Consumer Discretionary</t>
        </is>
      </c>
      <c r="E155" s="7" t="inlineStr">
        <is>
          <t>Auto &amp; Truck Dealerships</t>
        </is>
      </c>
      <c r="F155" s="8" t="n">
        <v>6.048967099826206</v>
      </c>
      <c r="G155" s="5" t="inlineStr">
        <is>
          <t>USD</t>
        </is>
      </c>
      <c r="H155" s="7" t="inlineStr">
        <is>
          <t>2025-09-30 / 2025-12-31 / 2026-03-31 / 2026-06-30</t>
        </is>
      </c>
      <c r="I155" s="8" t="n">
        <v>1880.765</v>
      </c>
      <c r="J155" s="8" t="n">
        <v>1771.893</v>
      </c>
      <c r="K155" s="8" t="n">
        <v>1684.185</v>
      </c>
      <c r="L155" s="8" t="n">
        <v>1899.679</v>
      </c>
      <c r="M155" s="9" t="n">
        <v>-1.607079686353241</v>
      </c>
      <c r="N155" s="8" t="n">
        <v>2122.8471</v>
      </c>
      <c r="O155" s="10" t="inlineStr">
        <is>
          <t>淨利 +$66.7M
經常 +$100.2M
一次: 無重大</t>
        </is>
      </c>
      <c r="P155" s="10" t="inlineStr">
        <is>
          <t>淨利 +$64.3M
經常 +$91.4M
一次: 無重大</t>
        </is>
      </c>
      <c r="Q155" s="10" t="inlineStr">
        <is>
          <t>淨利 +$61.5M
經常 +$82.5M
一次: 無重大</t>
        </is>
      </c>
      <c r="R155" s="10" t="inlineStr">
        <is>
          <t>淨利 +$72.8M
經常 +$97.1M
一次: 無重大</t>
        </is>
      </c>
      <c r="S155" s="11" t="n"/>
      <c r="T155" s="9" t="n">
        <v>5.112811164412514</v>
      </c>
      <c r="U155" s="9" t="n">
        <v>3.830173413508282</v>
      </c>
      <c r="V155" s="9" t="n">
        <v>19.03842701845943</v>
      </c>
      <c r="W155" s="10" t="inlineStr">
        <is>
          <t>無重大</t>
        </is>
      </c>
      <c r="X155" s="10" t="inlineStr">
        <is>
          <t>四季皆正：+100 → +91 → +82 → +97（百萬）</t>
        </is>
      </c>
      <c r="Y155" s="10" t="inlineStr">
        <is>
          <t>四季營運皆正、最新季淨利為正 — 經常性已盈利</t>
        </is>
      </c>
      <c r="Z155" s="12" t="inlineStr">
        <is>
          <t>A</t>
        </is>
      </c>
      <c r="AA155" s="7" t="inlineStr">
        <is>
          <t>2026-06-30 / 2026-10-28</t>
        </is>
      </c>
    </row>
    <row r="156" ht="46" customHeight="1">
      <c r="A156" s="5" t="n">
        <v>155</v>
      </c>
      <c r="B156" s="6" t="inlineStr">
        <is>
          <t>ENVA</t>
        </is>
      </c>
      <c r="C156" s="7" t="inlineStr">
        <is>
          <t>Enova International, Inc.</t>
        </is>
      </c>
      <c r="D156" s="7" t="inlineStr">
        <is>
          <t>Finance</t>
        </is>
      </c>
      <c r="E156" s="7" t="inlineStr">
        <is>
          <t>Credit Services</t>
        </is>
      </c>
      <c r="F156" s="8" t="n">
        <v>5.741066385309221</v>
      </c>
      <c r="G156" s="5" t="inlineStr">
        <is>
          <t>USD</t>
        </is>
      </c>
      <c r="H156" s="7" t="inlineStr">
        <is>
          <t>2025-09-30 / 2025-12-31 / 2026-03-31 / 2026-06-30</t>
        </is>
      </c>
      <c r="I156" s="8" t="n">
        <v>802.678</v>
      </c>
      <c r="J156" s="8" t="n">
        <v>839.391</v>
      </c>
      <c r="K156" s="8" t="n">
        <v>875.1420000000001</v>
      </c>
      <c r="L156" s="8" t="n">
        <v>928.927</v>
      </c>
      <c r="M156" s="9" t="n">
        <v>21.58046078558407</v>
      </c>
      <c r="N156" s="8" t="n">
        <v>1053.3785</v>
      </c>
      <c r="O156" s="10" t="inlineStr">
        <is>
          <t>淨利 +$80.3M
經常 +$109.8M
一次: 無重大</t>
        </is>
      </c>
      <c r="P156" s="10" t="inlineStr">
        <is>
          <t>淨利 +$79.0M
經常 +$104.2M
一次: 無重大</t>
        </is>
      </c>
      <c r="Q156" s="10" t="inlineStr">
        <is>
          <t>淨利 +$91.1M
經常 +$113.1M
一次: 無重大</t>
        </is>
      </c>
      <c r="R156" s="10" t="inlineStr">
        <is>
          <t>淨利 +$105.1M
經常 +$139.3M
一次: 無重大</t>
        </is>
      </c>
      <c r="S156" s="11" t="n">
        <v>4.6425</v>
      </c>
      <c r="T156" s="9" t="n">
        <v>14.99891810658965</v>
      </c>
      <c r="U156" s="9" t="n">
        <v>11.30960775173937</v>
      </c>
      <c r="V156" s="9" t="n">
        <v>50.62270770469585</v>
      </c>
      <c r="W156" s="10" t="inlineStr">
        <is>
          <t>無重大</t>
        </is>
      </c>
      <c r="X156" s="10" t="inlineStr">
        <is>
          <t>四季皆正：+110 → +104 → +113 → +139（百萬）</t>
        </is>
      </c>
      <c r="Y156" s="10" t="inlineStr">
        <is>
          <t>四季營運皆正、最新季淨利為正 — 經常性已盈利</t>
        </is>
      </c>
      <c r="Z156" s="12" t="inlineStr">
        <is>
          <t>A</t>
        </is>
      </c>
      <c r="AA156" s="7" t="inlineStr">
        <is>
          <t>2026-06-30 / 2026-10-22</t>
        </is>
      </c>
    </row>
    <row r="157" ht="46" customHeight="1">
      <c r="A157" s="5" t="n">
        <v>156</v>
      </c>
      <c r="B157" s="6" t="inlineStr">
        <is>
          <t>BIRK</t>
        </is>
      </c>
      <c r="C157" s="7" t="inlineStr">
        <is>
          <t>Birkenstock Holding plc</t>
        </is>
      </c>
      <c r="D157" s="7" t="inlineStr">
        <is>
          <t>Consumer Discretionary</t>
        </is>
      </c>
      <c r="E157" s="7" t="inlineStr">
        <is>
          <t>Footwear &amp; Accessories</t>
        </is>
      </c>
      <c r="F157" s="8" t="n">
        <v>5.614290936160189</v>
      </c>
      <c r="G157" s="5" t="inlineStr">
        <is>
          <t>EUR</t>
        </is>
      </c>
      <c r="H157" s="7" t="inlineStr">
        <is>
          <t>2025-09-30 / 2025-12-31 / 2026-03-31 / 2026-06-30</t>
        </is>
      </c>
      <c r="I157" s="8" t="n">
        <v>526.338</v>
      </c>
      <c r="J157" s="8" t="n">
        <v>401.901</v>
      </c>
      <c r="K157" s="8" t="n">
        <v>618.333</v>
      </c>
      <c r="L157" s="8" t="n">
        <v>719.527</v>
      </c>
      <c r="M157" s="9" t="n">
        <v>13.30384447012953</v>
      </c>
      <c r="N157" s="8" t="n">
        <v>456.61299</v>
      </c>
      <c r="O157" s="10" t="inlineStr">
        <is>
          <t>淨利 +€93.9M
經常 +€114.6M
一次: -€11.3M（營收 2%）</t>
        </is>
      </c>
      <c r="P157" s="10" t="inlineStr">
        <is>
          <t>淨利 +€50.6M
經常 +€81.6M
一次: 無重大</t>
        </is>
      </c>
      <c r="Q157" s="10" t="inlineStr">
        <is>
          <t>淨利 +€81.9M
經常 +€162.4M
一次: 無重大</t>
        </is>
      </c>
      <c r="R157" s="10" t="inlineStr">
        <is>
          <t>淨利 +€109.6M
經常 +€206.6M
一次: 無重大</t>
        </is>
      </c>
      <c r="S157" s="11" t="n">
        <v>0.26849</v>
      </c>
      <c r="T157" s="9" t="n">
        <v>28.70927706673967</v>
      </c>
      <c r="U157" s="9" t="n">
        <v>15.22986628715809</v>
      </c>
      <c r="V157" s="9" t="n">
        <v>59.05282220125165</v>
      </c>
      <c r="W157" s="10" t="inlineStr">
        <is>
          <t>無重大</t>
        </is>
      </c>
      <c r="X157" s="10" t="inlineStr">
        <is>
          <t>四季皆正：+115 → +82 → +162 → +207（百萬）</t>
        </is>
      </c>
      <c r="Y157" s="10" t="inlineStr">
        <is>
          <t>四季營運皆正、最新季淨利為正 — 經常性已盈利</t>
        </is>
      </c>
      <c r="Z157" s="12" t="inlineStr">
        <is>
          <t>A</t>
        </is>
      </c>
      <c r="AA157" s="7" t="inlineStr">
        <is>
          <t>2026-06-30 / 2026-08-13</t>
        </is>
      </c>
    </row>
    <row r="158" ht="46" customHeight="1">
      <c r="A158" s="5" t="n">
        <v>157</v>
      </c>
      <c r="B158" s="6" t="inlineStr">
        <is>
          <t>INSW</t>
        </is>
      </c>
      <c r="C158" s="7" t="inlineStr">
        <is>
          <t>International Seaways, Inc.</t>
        </is>
      </c>
      <c r="D158" s="7" t="inlineStr">
        <is>
          <t>Consumer Discretionary</t>
        </is>
      </c>
      <c r="E158" s="7" t="inlineStr">
        <is>
          <t>Oil &amp; Gas Midstream</t>
        </is>
      </c>
      <c r="F158" s="8" t="n">
        <v>5.176021999760398</v>
      </c>
      <c r="G158" s="5" t="inlineStr">
        <is>
          <t>USD</t>
        </is>
      </c>
      <c r="H158" s="7" t="inlineStr">
        <is>
          <t>2025-09-30 / 2025-12-31 / 2026-03-31 / 2026-06-30</t>
        </is>
      </c>
      <c r="I158" s="8" t="n">
        <v>196.388</v>
      </c>
      <c r="J158" s="8" t="n">
        <v>267.879</v>
      </c>
      <c r="K158" s="8" t="n">
        <v>325.476</v>
      </c>
      <c r="L158" s="8" t="n">
        <v>467.287</v>
      </c>
      <c r="M158" s="9" t="n">
        <v>138.849218722047</v>
      </c>
      <c r="N158" s="8" t="n">
        <v>273.7631</v>
      </c>
      <c r="O158" s="10" t="inlineStr">
        <is>
          <t>淨利 +$70.5M
經常 +$66.5M
一次: +$12.1M（營收 6%）</t>
        </is>
      </c>
      <c r="P158" s="10" t="inlineStr">
        <is>
          <t>淨利 +$127.3M
經常 +$132.3M
一次: +$3.0M（營收 1%）</t>
        </is>
      </c>
      <c r="Q158" s="10" t="inlineStr">
        <is>
          <t>淨利 +$286.1M
經常 +$200.4M
一次: +$52.9M（營收 16%）</t>
        </is>
      </c>
      <c r="R158" s="10" t="inlineStr">
        <is>
          <t>淨利 +$294.9M
經常 +$301.4M
一次: 無重大</t>
        </is>
      </c>
      <c r="S158" s="11" t="n">
        <v>2.24043</v>
      </c>
      <c r="T158" s="9" t="n">
        <v>64.49804937864739</v>
      </c>
      <c r="U158" s="9" t="n">
        <v>63.11431732532684</v>
      </c>
      <c r="V158" s="9" t="n">
        <v>67.55612717666017</v>
      </c>
      <c r="W158" s="10" t="inlineStr">
        <is>
          <t>無重大</t>
        </is>
      </c>
      <c r="X158" s="10" t="inlineStr">
        <is>
          <t>四季皆正：+67 → +132 → +200 → +301（百萬）</t>
        </is>
      </c>
      <c r="Y158" s="10" t="inlineStr">
        <is>
          <t>四季營運皆正、最新季淨利為正 — 經常性已盈利</t>
        </is>
      </c>
      <c r="Z158" s="12" t="inlineStr">
        <is>
          <t>A</t>
        </is>
      </c>
      <c r="AA158" s="7" t="inlineStr">
        <is>
          <t>2026-06-30 / 2026-11-05</t>
        </is>
      </c>
    </row>
    <row r="159" ht="46" customHeight="1">
      <c r="A159" s="5" t="n">
        <v>158</v>
      </c>
      <c r="B159" s="6" t="inlineStr">
        <is>
          <t>EBC</t>
        </is>
      </c>
      <c r="C159" s="7" t="inlineStr">
        <is>
          <t>Eastern Bankshares, Inc.</t>
        </is>
      </c>
      <c r="D159" s="7" t="inlineStr">
        <is>
          <t>Finance</t>
        </is>
      </c>
      <c r="E159" s="7" t="inlineStr">
        <is>
          <t>Banks - Regional</t>
        </is>
      </c>
      <c r="F159" s="8" t="n">
        <v>5.082096916640504</v>
      </c>
      <c r="G159" s="5" t="inlineStr">
        <is>
          <t>USD</t>
        </is>
      </c>
      <c r="H159" s="7" t="inlineStr">
        <is>
          <t>2025-09-30 / 2025-12-31 / 2026-03-31 / 2026-06-30</t>
        </is>
      </c>
      <c r="I159" s="8" t="n">
        <v>239.976</v>
      </c>
      <c r="J159" s="8" t="n">
        <v>284.146</v>
      </c>
      <c r="K159" s="8" t="n">
        <v>280.682</v>
      </c>
      <c r="L159" s="8" t="n">
        <v>309.788</v>
      </c>
      <c r="M159" s="9" t="n">
        <v>26.82559372479663</v>
      </c>
      <c r="N159" s="8" t="n">
        <v>310.83267</v>
      </c>
      <c r="O159" s="10" t="inlineStr">
        <is>
          <t>淨利 +$106.1M
經常* +$94.0M
一次: 無重大</t>
        </is>
      </c>
      <c r="P159" s="10" t="inlineStr">
        <is>
          <t>淨利 +$99.5M
經常* +$89.2M
一次: 無重大</t>
        </is>
      </c>
      <c r="Q159" s="10" t="inlineStr">
        <is>
          <t>淨利 +$65.3M
經常* +$83.8M
一次: 無重大</t>
        </is>
      </c>
      <c r="R159" s="10" t="inlineStr">
        <is>
          <t>淨利 +$105.2M
經常* +$134.8M
一次: 無重大</t>
        </is>
      </c>
      <c r="S159" s="11" t="n">
        <v>0.49612</v>
      </c>
      <c r="T159" s="9" t="n">
        <v>43.51911629888827</v>
      </c>
      <c r="U159" s="9" t="n">
        <v>33.96290366315028</v>
      </c>
      <c r="V159" s="9" t="n"/>
      <c r="W159" s="10" t="inlineStr">
        <is>
          <t>無重大</t>
        </is>
      </c>
      <c r="X159" s="10" t="inlineStr">
        <is>
          <t>四季皆正：+94 → +89 → +84 → +135（百萬）</t>
        </is>
      </c>
      <c r="Y159" s="10" t="inlineStr">
        <is>
          <t>四季營運皆正、最新季淨利為正 — 經常性已盈利</t>
        </is>
      </c>
      <c r="Z159" s="12" t="inlineStr">
        <is>
          <t>A</t>
        </is>
      </c>
      <c r="AA159" s="7" t="inlineStr">
        <is>
          <t>2026-06-30 / 2026-10-22</t>
        </is>
      </c>
    </row>
    <row r="160" ht="46" customHeight="1">
      <c r="A160" s="5" t="n">
        <v>159</v>
      </c>
      <c r="B160" s="6" t="inlineStr">
        <is>
          <t>UNF</t>
        </is>
      </c>
      <c r="C160" s="7" t="inlineStr">
        <is>
          <t>UniFirst Corporation</t>
        </is>
      </c>
      <c r="D160" s="7" t="inlineStr">
        <is>
          <t>Consumer Discretionary</t>
        </is>
      </c>
      <c r="E160" s="7" t="inlineStr">
        <is>
          <t>Specialty Business Services</t>
        </is>
      </c>
      <c r="F160" s="8" t="n">
        <v>4.976221884581534</v>
      </c>
      <c r="G160" s="5" t="inlineStr">
        <is>
          <t>USD</t>
        </is>
      </c>
      <c r="H160" s="7" t="inlineStr">
        <is>
          <t>2025-08-31 / 2025-11-30 / 2026-02-28 / 2026-05-31</t>
        </is>
      </c>
      <c r="I160" s="8" t="n">
        <v>614.447</v>
      </c>
      <c r="J160" s="8" t="n">
        <v>621.318</v>
      </c>
      <c r="K160" s="8" t="n">
        <v>622.505</v>
      </c>
      <c r="L160" s="8" t="n">
        <v>634.402</v>
      </c>
      <c r="M160" s="9" t="n">
        <v>3.867853786482156</v>
      </c>
      <c r="N160" s="8" t="n">
        <v>643.59617</v>
      </c>
      <c r="O160" s="10" t="inlineStr">
        <is>
          <t>淨利 +$41.0M
經常 +$49.6M
一次: 無重大</t>
        </is>
      </c>
      <c r="P160" s="10" t="inlineStr">
        <is>
          <t>淨利 +$34.4M
經常 +$45.3M
一次: 無重大</t>
        </is>
      </c>
      <c r="Q160" s="10" t="inlineStr">
        <is>
          <t>淨利 +$20.5M
經常 +$26.0M
一次: 無重大</t>
        </is>
      </c>
      <c r="R160" s="10" t="inlineStr">
        <is>
          <t>淨利 +$19.9M
經常 +$23.0M
一次: 無重大</t>
        </is>
      </c>
      <c r="S160" s="11" t="n">
        <v>2.20826</v>
      </c>
      <c r="T160" s="9" t="n">
        <v>3.630190320963679</v>
      </c>
      <c r="U160" s="9" t="n">
        <v>3.139334365276276</v>
      </c>
      <c r="V160" s="9" t="n">
        <v>36.9995680972002</v>
      </c>
      <c r="W160" s="10" t="inlineStr">
        <is>
          <t>無重大</t>
        </is>
      </c>
      <c r="X160" s="10" t="inlineStr">
        <is>
          <t>四季皆正：+50 → +45 → +26 → +23（百萬）</t>
        </is>
      </c>
      <c r="Y160" s="10" t="inlineStr">
        <is>
          <t>四季營運皆正、最新季淨利為正 — 經常性已盈利</t>
        </is>
      </c>
      <c r="Z160" s="12" t="inlineStr">
        <is>
          <t>A</t>
        </is>
      </c>
      <c r="AA160" s="7" t="inlineStr">
        <is>
          <t>2026-05-31 / 2026-10-21</t>
        </is>
      </c>
    </row>
    <row r="161" ht="46" customHeight="1">
      <c r="A161" s="5" t="n">
        <v>160</v>
      </c>
      <c r="B161" s="6" t="inlineStr">
        <is>
          <t>BOOT</t>
        </is>
      </c>
      <c r="C161" s="7" t="inlineStr">
        <is>
          <t>Boot Barn Holdings, Inc.</t>
        </is>
      </c>
      <c r="D161" s="7" t="inlineStr">
        <is>
          <t>Consumer Discretionary</t>
        </is>
      </c>
      <c r="E161" s="7" t="inlineStr">
        <is>
          <t>Apparel Retail</t>
        </is>
      </c>
      <c r="F161" s="8" t="n">
        <v>4.67264858039383</v>
      </c>
      <c r="G161" s="5" t="inlineStr">
        <is>
          <t>USD</t>
        </is>
      </c>
      <c r="H161" s="7" t="inlineStr">
        <is>
          <t>2025-09-30 / 2025-12-31 / 2026-03-31 / 2026-06-30</t>
        </is>
      </c>
      <c r="I161" s="8" t="n">
        <v>505.396</v>
      </c>
      <c r="J161" s="8" t="n">
        <v>705.643</v>
      </c>
      <c r="K161" s="8" t="n">
        <v>538.753</v>
      </c>
      <c r="L161" s="8" t="n">
        <v>593.515</v>
      </c>
      <c r="M161" s="9" t="n">
        <v>17.74526005471495</v>
      </c>
      <c r="N161" s="8" t="n">
        <v>819.75856</v>
      </c>
      <c r="O161" s="10" t="inlineStr">
        <is>
          <t>淨利 +$42.2M
經常 +$56.4M
一次: 無重大</t>
        </is>
      </c>
      <c r="P161" s="10" t="inlineStr">
        <is>
          <t>淨利 +$85.8M
經常 +$114.8M
一次: 無重大</t>
        </is>
      </c>
      <c r="Q161" s="10" t="inlineStr">
        <is>
          <t>淨利 +$44.4M
經常 +$57.2M
一次: 無重大</t>
        </is>
      </c>
      <c r="R161" s="10" t="inlineStr">
        <is>
          <t>淨利 +$70.1M
經常 +$90.5M
一次: 無重大</t>
        </is>
      </c>
      <c r="S161" s="11" t="n">
        <v>3.43886</v>
      </c>
      <c r="T161" s="9" t="n">
        <v>15.25252099778439</v>
      </c>
      <c r="U161" s="9" t="n">
        <v>11.81301230802928</v>
      </c>
      <c r="V161" s="9" t="n">
        <v>40.41886051742584</v>
      </c>
      <c r="W161" s="10" t="inlineStr">
        <is>
          <t>無重大</t>
        </is>
      </c>
      <c r="X161" s="10" t="inlineStr">
        <is>
          <t>四季皆正：+56 → +115 → +57 → +91（百萬）</t>
        </is>
      </c>
      <c r="Y161" s="10" t="inlineStr">
        <is>
          <t>四季營運皆正、最新季淨利為正 — 經常性已盈利</t>
        </is>
      </c>
      <c r="Z161" s="12" t="inlineStr">
        <is>
          <t>A</t>
        </is>
      </c>
      <c r="AA161" s="7" t="inlineStr">
        <is>
          <t>2026-06-30 / 2026-10-28</t>
        </is>
      </c>
    </row>
    <row r="162" ht="46" customHeight="1">
      <c r="A162" s="5" t="n">
        <v>161</v>
      </c>
      <c r="B162" s="6" t="inlineStr">
        <is>
          <t>KFY</t>
        </is>
      </c>
      <c r="C162" s="7" t="inlineStr">
        <is>
          <t>Korn Ferry</t>
        </is>
      </c>
      <c r="D162" s="7" t="inlineStr">
        <is>
          <t>Consumer Discretionary</t>
        </is>
      </c>
      <c r="E162" s="7" t="inlineStr">
        <is>
          <t>Staffing &amp; Employment Services</t>
        </is>
      </c>
      <c r="F162" s="8" t="n">
        <v>4.649420851054953</v>
      </c>
      <c r="G162" s="5" t="inlineStr">
        <is>
          <t>USD</t>
        </is>
      </c>
      <c r="H162" s="7" t="inlineStr">
        <is>
          <t>2025-07-31 / 2025-10-31 / 2026-01-31 / 2026-04-30</t>
        </is>
      </c>
      <c r="I162" s="8" t="n">
        <v>715.543</v>
      </c>
      <c r="J162" s="8" t="n">
        <v>729.8</v>
      </c>
      <c r="K162" s="8" t="n">
        <v>725.042</v>
      </c>
      <c r="L162" s="8" t="n">
        <v>768.256</v>
      </c>
      <c r="M162" s="9" t="n">
        <v>6.727866556825446</v>
      </c>
      <c r="N162" s="8" t="n">
        <v>744.02832</v>
      </c>
      <c r="O162" s="10" t="inlineStr">
        <is>
          <t>淨利 +$65.8M
經常 +$83.4M
一次: 無重大</t>
        </is>
      </c>
      <c r="P162" s="10" t="inlineStr">
        <is>
          <t>淨利 +$71.5M
經常 +$98.8M
一次: 無重大</t>
        </is>
      </c>
      <c r="Q162" s="10" t="inlineStr">
        <is>
          <t>淨利 +$64.5M
經常 +$91.0M
一次: 無重大</t>
        </is>
      </c>
      <c r="R162" s="10" t="inlineStr">
        <is>
          <t>淨利 +$72.2M
經常 +$101.5M
一次: 無重大</t>
        </is>
      </c>
      <c r="S162" s="11" t="n">
        <v>1.44835</v>
      </c>
      <c r="T162" s="9" t="n">
        <v>13.21473571309564</v>
      </c>
      <c r="U162" s="9" t="n">
        <v>9.402985463178942</v>
      </c>
      <c r="V162" s="9" t="n">
        <v>88.18805189936688</v>
      </c>
      <c r="W162" s="10" t="inlineStr">
        <is>
          <t>無重大</t>
        </is>
      </c>
      <c r="X162" s="10" t="inlineStr">
        <is>
          <t>四季皆正：+83 → +99 → +91 → +102（百萬）</t>
        </is>
      </c>
      <c r="Y162" s="10" t="inlineStr">
        <is>
          <t>四季營運皆正、最新季淨利為正 — 經常性已盈利</t>
        </is>
      </c>
      <c r="Z162" s="12" t="inlineStr">
        <is>
          <t>A</t>
        </is>
      </c>
      <c r="AA162" s="7" t="inlineStr">
        <is>
          <t>2026-04-30 / 2026-09-09</t>
        </is>
      </c>
    </row>
    <row r="163" ht="46" customHeight="1">
      <c r="A163" s="5" t="n">
        <v>162</v>
      </c>
      <c r="B163" s="6" t="inlineStr">
        <is>
          <t>MEOH</t>
        </is>
      </c>
      <c r="C163" s="7" t="inlineStr">
        <is>
          <t>Methanex Corporation</t>
        </is>
      </c>
      <c r="D163" s="7" t="inlineStr">
        <is>
          <t>Industrials</t>
        </is>
      </c>
      <c r="E163" s="7" t="inlineStr">
        <is>
          <t>Chemicals</t>
        </is>
      </c>
      <c r="F163" s="8" t="n">
        <v>4.542829522960544</v>
      </c>
      <c r="G163" s="5" t="inlineStr">
        <is>
          <t>USD</t>
        </is>
      </c>
      <c r="H163" s="7" t="inlineStr">
        <is>
          <t>2025-09-30 / 2025-12-31 / 2026-03-31 / 2026-06-30</t>
        </is>
      </c>
      <c r="I163" s="8" t="n">
        <v>927.4349999999999</v>
      </c>
      <c r="J163" s="8" t="n">
        <v>968.8099999999999</v>
      </c>
      <c r="K163" s="8" t="n">
        <v>973.718</v>
      </c>
      <c r="L163" s="8" t="n">
        <v>1395.259</v>
      </c>
      <c r="M163" s="9" t="n">
        <v>75.17266056082509</v>
      </c>
      <c r="N163" s="8" t="n">
        <v>1173.17849</v>
      </c>
      <c r="O163" s="10" t="inlineStr">
        <is>
          <t>淨利 -$7.1M
經常 +$68.5M
一次: +$9.7M（營收 1%）</t>
        </is>
      </c>
      <c r="P163" s="10" t="inlineStr">
        <is>
          <t>淨利 -$88.8M
經常 +$71.5M
一次: -$60.5M（營收 6%）</t>
        </is>
      </c>
      <c r="Q163" s="10" t="inlineStr">
        <is>
          <t>淨利 -$13.6M
經常 +$83.4M
一次: 無重大</t>
        </is>
      </c>
      <c r="R163" s="10" t="inlineStr">
        <is>
          <t>淨利 +$197.8M
經常 +$517.5M
一次: -$22.8M（營收 2%）</t>
        </is>
      </c>
      <c r="S163" s="11" t="n">
        <v>2.118</v>
      </c>
      <c r="T163" s="9" t="n">
        <v>37.08795284603074</v>
      </c>
      <c r="U163" s="9" t="n">
        <v>14.17887288309912</v>
      </c>
      <c r="V163" s="9" t="n">
        <v>45.72670737117625</v>
      </c>
      <c r="W163" s="10" t="inlineStr">
        <is>
          <t>-$22.8M・營收 1.6%</t>
        </is>
      </c>
      <c r="X163" s="10" t="inlineStr">
        <is>
          <t>四季皆正：+68 → +71 → +83 → +517（百萬）</t>
        </is>
      </c>
      <c r="Y163" s="10" t="inlineStr">
        <is>
          <t>四季營運皆正、最新季淨利為正 — 經常性已盈利</t>
        </is>
      </c>
      <c r="Z163" s="12" t="inlineStr">
        <is>
          <t>A</t>
        </is>
      </c>
      <c r="AA163" s="7" t="inlineStr">
        <is>
          <t>2026-06-30 / 2026-10-29</t>
        </is>
      </c>
    </row>
    <row r="164" ht="46" customHeight="1">
      <c r="A164" s="5" t="n">
        <v>163</v>
      </c>
      <c r="B164" s="6" t="inlineStr">
        <is>
          <t>FBP</t>
        </is>
      </c>
      <c r="C164" s="7" t="inlineStr">
        <is>
          <t>First BanCorp.</t>
        </is>
      </c>
      <c r="D164" s="7" t="inlineStr">
        <is>
          <t>Finance</t>
        </is>
      </c>
      <c r="E164" s="7" t="inlineStr">
        <is>
          <t>Banks - Regional</t>
        </is>
      </c>
      <c r="F164" s="8" t="n">
        <v>4.352572320948104</v>
      </c>
      <c r="G164" s="5" t="inlineStr">
        <is>
          <t>USD</t>
        </is>
      </c>
      <c r="H164" s="7" t="inlineStr">
        <is>
          <t>2025-09-30 / 2025-12-31 / 2026-03-31 / 2026-06-30</t>
        </is>
      </c>
      <c r="I164" s="8" t="n">
        <v>239.709</v>
      </c>
      <c r="J164" s="8" t="n">
        <v>238.109</v>
      </c>
      <c r="K164" s="8" t="n">
        <v>252.255</v>
      </c>
      <c r="L164" s="8" t="n">
        <v>257.295</v>
      </c>
      <c r="M164" s="9" t="n">
        <v>7.325202098993056</v>
      </c>
      <c r="N164" s="8" t="n">
        <v>278.48567</v>
      </c>
      <c r="O164" s="10" t="inlineStr">
        <is>
          <t>淨利 +$100.5M
經常* +$107.2M
一次: 無重大</t>
        </is>
      </c>
      <c r="P164" s="10" t="inlineStr">
        <is>
          <t>淨利 +$87.1M
經常* +$106.6M
一次: 無重大</t>
        </is>
      </c>
      <c r="Q164" s="10" t="inlineStr">
        <is>
          <t>淨利 +$88.8M
經常* +$113.5M
一次: 無重大</t>
        </is>
      </c>
      <c r="R164" s="10" t="inlineStr">
        <is>
          <t>淨利 +$96.2M
經常* +$119.5M
一次: 無重大</t>
        </is>
      </c>
      <c r="S164" s="11" t="n">
        <v>0.61505</v>
      </c>
      <c r="T164" s="9" t="n">
        <v>46.45736436780116</v>
      </c>
      <c r="U164" s="9" t="n">
        <v>37.37111098155813</v>
      </c>
      <c r="V164" s="9" t="n"/>
      <c r="W164" s="10" t="inlineStr">
        <is>
          <t>無重大</t>
        </is>
      </c>
      <c r="X164" s="10" t="inlineStr">
        <is>
          <t>四季皆正：+107 → +107 → +114 → +120（百萬）</t>
        </is>
      </c>
      <c r="Y164" s="10" t="inlineStr">
        <is>
          <t>四季營運皆正、最新季淨利為正 — 經常性已盈利</t>
        </is>
      </c>
      <c r="Z164" s="12" t="inlineStr">
        <is>
          <t>A</t>
        </is>
      </c>
      <c r="AA164" s="7" t="inlineStr">
        <is>
          <t>2026-06-30 / 2026-10-22</t>
        </is>
      </c>
    </row>
    <row r="165" ht="46" customHeight="1">
      <c r="A165" s="5" t="n">
        <v>164</v>
      </c>
      <c r="B165" s="6" t="inlineStr">
        <is>
          <t>BFH</t>
        </is>
      </c>
      <c r="C165" s="7" t="inlineStr">
        <is>
          <t>Bread Financial Holdings, Inc.</t>
        </is>
      </c>
      <c r="D165" s="7" t="inlineStr">
        <is>
          <t>Consumer Discretionary</t>
        </is>
      </c>
      <c r="E165" s="7" t="inlineStr">
        <is>
          <t>Credit Services</t>
        </is>
      </c>
      <c r="F165" s="8" t="n">
        <v>4.259544243078673</v>
      </c>
      <c r="G165" s="5" t="inlineStr">
        <is>
          <t>USD</t>
        </is>
      </c>
      <c r="H165" s="7" t="inlineStr">
        <is>
          <t>2025-09-30 / 2025-12-31 / 2026-03-31 / 2026-06-30</t>
        </is>
      </c>
      <c r="I165" s="8" t="n">
        <v>971</v>
      </c>
      <c r="J165" s="8" t="n">
        <v>975</v>
      </c>
      <c r="K165" s="8" t="n">
        <v>1018</v>
      </c>
      <c r="L165" s="8" t="n">
        <v>993</v>
      </c>
      <c r="M165" s="9" t="n">
        <v>6.889128094725505</v>
      </c>
      <c r="N165" s="8" t="n">
        <v>984.68287</v>
      </c>
      <c r="O165" s="10" t="inlineStr">
        <is>
          <t>淨利 +$188.0M
經常* +$198.9M
一次: 無重大</t>
        </is>
      </c>
      <c r="P165" s="10" t="inlineStr">
        <is>
          <t>淨利 +$54.0M
經常* +$90.5M
一次: -$43.5M（營收 4%）</t>
        </is>
      </c>
      <c r="Q165" s="10" t="inlineStr">
        <is>
          <t>淨利 +$179.0M
經常* +$243.0M
一次: 無重大</t>
        </is>
      </c>
      <c r="R165" s="10" t="inlineStr">
        <is>
          <t>淨利 +$144.0M
經常* +$197.0M
一次: 無重大</t>
        </is>
      </c>
      <c r="S165" s="11" t="n">
        <v>1.22932</v>
      </c>
      <c r="T165" s="9" t="n">
        <v>19.83887210473313</v>
      </c>
      <c r="U165" s="9" t="n">
        <v>14.50151057401813</v>
      </c>
      <c r="V165" s="9" t="n"/>
      <c r="W165" s="10" t="inlineStr">
        <is>
          <t>無重大</t>
        </is>
      </c>
      <c r="X165" s="10" t="inlineStr">
        <is>
          <t>四季皆正：+199 → +90 → +243 → +197（百萬）</t>
        </is>
      </c>
      <c r="Y165" s="10" t="inlineStr">
        <is>
          <t>四季營運皆正、最新季淨利為正 — 經常性已盈利</t>
        </is>
      </c>
      <c r="Z165" s="12" t="inlineStr">
        <is>
          <t>A</t>
        </is>
      </c>
      <c r="AA165" s="7" t="inlineStr">
        <is>
          <t>2026-06-30 / 2026-10-22</t>
        </is>
      </c>
    </row>
    <row r="166" ht="46" customHeight="1">
      <c r="A166" s="5" t="n">
        <v>165</v>
      </c>
      <c r="B166" s="6" t="inlineStr">
        <is>
          <t>GEO</t>
        </is>
      </c>
      <c r="C166" s="7" t="inlineStr">
        <is>
          <t>The GEO Group, Inc.</t>
        </is>
      </c>
      <c r="D166" s="7" t="inlineStr">
        <is>
          <t>Consumer Discretionary</t>
        </is>
      </c>
      <c r="E166" s="7" t="inlineStr">
        <is>
          <t>Security &amp; Protection Services</t>
        </is>
      </c>
      <c r="F166" s="8" t="n">
        <v>4.181554183314478</v>
      </c>
      <c r="G166" s="5" t="inlineStr">
        <is>
          <t>USD</t>
        </is>
      </c>
      <c r="H166" s="7" t="inlineStr">
        <is>
          <t>2025-09-30 / 2025-12-31 / 2026-03-31 / 2026-06-30</t>
        </is>
      </c>
      <c r="I166" s="8" t="n">
        <v>682.341</v>
      </c>
      <c r="J166" s="8" t="n">
        <v>707.6950000000001</v>
      </c>
      <c r="K166" s="8" t="n">
        <v>705.213</v>
      </c>
      <c r="L166" s="8" t="n">
        <v>732.072</v>
      </c>
      <c r="M166" s="9" t="n">
        <v>15.07508225015679</v>
      </c>
      <c r="N166" s="8" t="n">
        <v>784.2424999999999</v>
      </c>
      <c r="O166" s="10" t="inlineStr">
        <is>
          <t>淨利 +$173.9M
經常 +$78.3M
一次: +$140.9M（營收 21%）</t>
        </is>
      </c>
      <c r="P166" s="10" t="inlineStr">
        <is>
          <t>淨利 +$31.8M
經常 +$83.8M
一次: 無重大</t>
        </is>
      </c>
      <c r="Q166" s="10" t="inlineStr">
        <is>
          <t>淨利 +$38.3M
經常 +$89.3M
一次: 無重大</t>
        </is>
      </c>
      <c r="R166" s="10" t="inlineStr">
        <is>
          <t>淨利 +$47.5M
經常 +$101.7M
一次: 無重大</t>
        </is>
      </c>
      <c r="S166" s="11" t="n">
        <v>0.31</v>
      </c>
      <c r="T166" s="9" t="n">
        <v>13.89248598498508</v>
      </c>
      <c r="U166" s="9" t="n">
        <v>6.48884262750112</v>
      </c>
      <c r="V166" s="9" t="n"/>
      <c r="W166" s="10" t="inlineStr">
        <is>
          <t>無重大</t>
        </is>
      </c>
      <c r="X166" s="10" t="inlineStr">
        <is>
          <t>四季皆正：+78 → +84 → +89 → +102（百萬）</t>
        </is>
      </c>
      <c r="Y166" s="10" t="inlineStr">
        <is>
          <t>四季營運皆正、最新季淨利為正 — 經常性已盈利</t>
        </is>
      </c>
      <c r="Z166" s="12" t="inlineStr">
        <is>
          <t>A</t>
        </is>
      </c>
      <c r="AA166" s="7" t="inlineStr">
        <is>
          <t>2026-06-30 / 2026-11-05</t>
        </is>
      </c>
    </row>
    <row r="167" ht="46" customHeight="1">
      <c r="A167" s="5" t="n">
        <v>166</v>
      </c>
      <c r="B167" s="6" t="inlineStr">
        <is>
          <t>PARR</t>
        </is>
      </c>
      <c r="C167" s="7" t="inlineStr">
        <is>
          <t>Par Pacific Holdings, Inc.</t>
        </is>
      </c>
      <c r="D167" s="7" t="inlineStr">
        <is>
          <t>Energy</t>
        </is>
      </c>
      <c r="E167" s="7" t="inlineStr">
        <is>
          <t>Oil &amp; Gas Refining &amp; Marketing</t>
        </is>
      </c>
      <c r="F167" s="8" t="n">
        <v>4.074101667952828</v>
      </c>
      <c r="G167" s="5" t="inlineStr">
        <is>
          <t>USD</t>
        </is>
      </c>
      <c r="H167" s="7" t="inlineStr">
        <is>
          <t>2025-09-30 / 2025-12-31 / 2026-03-31 / 2026-06-30</t>
        </is>
      </c>
      <c r="I167" s="8" t="n">
        <v>2012.936</v>
      </c>
      <c r="J167" s="8" t="n">
        <v>1813.24</v>
      </c>
      <c r="K167" s="8" t="n">
        <v>1823.75</v>
      </c>
      <c r="L167" s="8" t="n">
        <v>2968.869</v>
      </c>
      <c r="M167" s="9" t="n">
        <v>56.79779322058604</v>
      </c>
      <c r="N167" s="8" t="n">
        <v>2032.02858</v>
      </c>
      <c r="O167" s="10" t="inlineStr">
        <is>
          <t>淨利 +$262.6M
經常 +$354.2M
一次: 無重大</t>
        </is>
      </c>
      <c r="P167" s="10" t="inlineStr">
        <is>
          <t>淨利 +$77.7M
經常 +$90.5M
一次: 無重大</t>
        </is>
      </c>
      <c r="Q167" s="10" t="inlineStr">
        <is>
          <t>淨利 +$54.5M
經常 +$59.6M
一次: 無重大</t>
        </is>
      </c>
      <c r="R167" s="10" t="inlineStr">
        <is>
          <t>淨利 +$462.1M
經常 +$627.4M
一次: 無重大</t>
        </is>
      </c>
      <c r="S167" s="11" t="n">
        <v>3.86269</v>
      </c>
      <c r="T167" s="9" t="n">
        <v>21.1319866252098</v>
      </c>
      <c r="U167" s="9" t="n">
        <v>15.56589394816679</v>
      </c>
      <c r="V167" s="9" t="n">
        <v>27.49282639281154</v>
      </c>
      <c r="W167" s="10" t="inlineStr">
        <is>
          <t>無重大</t>
        </is>
      </c>
      <c r="X167" s="10" t="inlineStr">
        <is>
          <t>四季皆正：+354 → +90 → +60 → +627（百萬）</t>
        </is>
      </c>
      <c r="Y167" s="10" t="inlineStr">
        <is>
          <t>四季營運皆正、最新季淨利為正 — 經常性已盈利</t>
        </is>
      </c>
      <c r="Z167" s="12" t="inlineStr">
        <is>
          <t>A</t>
        </is>
      </c>
      <c r="AA167" s="7" t="inlineStr">
        <is>
          <t>2026-06-30 / 2026-11-03</t>
        </is>
      </c>
    </row>
    <row r="168" ht="46" customHeight="1">
      <c r="A168" s="5" t="n">
        <v>167</v>
      </c>
      <c r="B168" s="6" t="inlineStr">
        <is>
          <t>WSFS</t>
        </is>
      </c>
      <c r="C168" s="7" t="inlineStr">
        <is>
          <t>WSFS Financial Corporation</t>
        </is>
      </c>
      <c r="D168" s="7" t="inlineStr">
        <is>
          <t>Finance</t>
        </is>
      </c>
      <c r="E168" s="7" t="inlineStr">
        <is>
          <t>Banks - Regional</t>
        </is>
      </c>
      <c r="F168" s="8" t="n">
        <v>4.055061318749558</v>
      </c>
      <c r="G168" s="5" t="inlineStr">
        <is>
          <t>USD</t>
        </is>
      </c>
      <c r="H168" s="7" t="inlineStr">
        <is>
          <t>2025-09-30 / 2025-12-31 / 2026-03-31 / 2026-06-30</t>
        </is>
      </c>
      <c r="I168" s="8" t="n">
        <v>270.494</v>
      </c>
      <c r="J168" s="8" t="n">
        <v>271.875</v>
      </c>
      <c r="K168" s="8" t="n">
        <v>275.251</v>
      </c>
      <c r="L168" s="8" t="n">
        <v>282.468</v>
      </c>
      <c r="M168" s="9" t="n">
        <v>5.593935043961951</v>
      </c>
      <c r="N168" s="8" t="n">
        <v>291.5278</v>
      </c>
      <c r="O168" s="10" t="inlineStr">
        <is>
          <t>淨利 +$76.4M
經常* +$101.6M
一次: 無重大</t>
        </is>
      </c>
      <c r="P168" s="10" t="inlineStr">
        <is>
          <t>淨利 +$72.7M
經常* +$98.0M
一次: 無重大</t>
        </is>
      </c>
      <c r="Q168" s="10" t="inlineStr">
        <is>
          <t>淨利 +$86.8M
經常* +$116.6M
一次: 無重大</t>
        </is>
      </c>
      <c r="R168" s="10" t="inlineStr">
        <is>
          <t>淨利 +$84.4M
經常* +$111.2M
一次: 無重大</t>
        </is>
      </c>
      <c r="S168" s="11" t="n">
        <v>1.63667</v>
      </c>
      <c r="T168" s="9" t="n">
        <v>39.35731374881402</v>
      </c>
      <c r="U168" s="9" t="n">
        <v>29.87878272937111</v>
      </c>
      <c r="V168" s="9" t="n"/>
      <c r="W168" s="10" t="inlineStr">
        <is>
          <t>無重大</t>
        </is>
      </c>
      <c r="X168" s="10" t="inlineStr">
        <is>
          <t>四季皆正：+102 → +98 → +117 → +111（百萬）</t>
        </is>
      </c>
      <c r="Y168" s="10" t="inlineStr">
        <is>
          <t>四季營運皆正、最新季淨利為正 — 經常性已盈利</t>
        </is>
      </c>
      <c r="Z168" s="12" t="inlineStr">
        <is>
          <t>A</t>
        </is>
      </c>
      <c r="AA168" s="7" t="inlineStr">
        <is>
          <t>2026-06-30 / 2026-10-22</t>
        </is>
      </c>
    </row>
    <row r="169" ht="46" customHeight="1">
      <c r="A169" s="5" t="n">
        <v>168</v>
      </c>
      <c r="B169" s="6" t="inlineStr">
        <is>
          <t>CDP</t>
        </is>
      </c>
      <c r="C169" s="7" t="inlineStr">
        <is>
          <t>COPT Defense Properties</t>
        </is>
      </c>
      <c r="D169" s="7" t="inlineStr">
        <is>
          <t>Real Estate</t>
        </is>
      </c>
      <c r="E169" s="7" t="inlineStr">
        <is>
          <t>REIT - Office</t>
        </is>
      </c>
      <c r="F169" s="8" t="n">
        <v>3.98751170341996</v>
      </c>
      <c r="G169" s="5" t="inlineStr">
        <is>
          <t>USD</t>
        </is>
      </c>
      <c r="H169" s="7" t="inlineStr">
        <is>
          <t>2025-03-31 / 2025-06-30 / 2025-12-31 / 2026-03-31</t>
        </is>
      </c>
      <c r="I169" s="8" t="n">
        <v>187.856</v>
      </c>
      <c r="J169" s="8" t="n">
        <v>189.915</v>
      </c>
      <c r="K169" s="8" t="n">
        <v>197.357</v>
      </c>
      <c r="L169" s="8" t="n">
        <v>200.637</v>
      </c>
      <c r="M169" s="9" t="n"/>
      <c r="N169" s="8" t="n">
        <v>198.28767</v>
      </c>
      <c r="O169" s="10" t="inlineStr">
        <is>
          <t>淨利 +$34.6M
經常 +$54.6M
一次: 無重大</t>
        </is>
      </c>
      <c r="P169" s="10" t="inlineStr">
        <is>
          <t>淨利 +$38.3M
經常 +$59.6M
一次: 無重大</t>
        </is>
      </c>
      <c r="Q169" s="10" t="inlineStr">
        <is>
          <t>淨利 +$38.0M
經常 +$58.3M
一次: 無重大</t>
        </is>
      </c>
      <c r="R169" s="10" t="inlineStr">
        <is>
          <t>淨利 +$38.4M
經常 +$58.3M
一次: 無重大</t>
        </is>
      </c>
      <c r="S169" s="11" t="n">
        <v>0.35</v>
      </c>
      <c r="T169" s="9" t="n">
        <v>29.06542661622732</v>
      </c>
      <c r="U169" s="9" t="n">
        <v>19.12159771128954</v>
      </c>
      <c r="V169" s="9" t="n">
        <v>35.36984703718657</v>
      </c>
      <c r="W169" s="10" t="inlineStr">
        <is>
          <t>無重大</t>
        </is>
      </c>
      <c r="X169" s="10" t="inlineStr">
        <is>
          <t>四季皆正：+55 → +60 → +58 → +58（百萬）</t>
        </is>
      </c>
      <c r="Y169" s="10" t="inlineStr">
        <is>
          <t>四季營運皆正、最新季淨利為正 — 經常性已盈利</t>
        </is>
      </c>
      <c r="Z169" s="12" t="inlineStr">
        <is>
          <t>A</t>
        </is>
      </c>
      <c r="AA169" s="7" t="inlineStr">
        <is>
          <t>2026-03-31 / 2026-10-29</t>
        </is>
      </c>
    </row>
    <row r="170" ht="46" customHeight="1">
      <c r="A170" s="5" t="n">
        <v>169</v>
      </c>
      <c r="B170" s="6" t="inlineStr">
        <is>
          <t>WT</t>
        </is>
      </c>
      <c r="C170" s="7" t="inlineStr">
        <is>
          <t>WisdomTree, Inc.</t>
        </is>
      </c>
      <c r="D170" s="7" t="inlineStr">
        <is>
          <t>Finance</t>
        </is>
      </c>
      <c r="E170" s="7" t="inlineStr">
        <is>
          <t>Asset Management</t>
        </is>
      </c>
      <c r="F170" s="8" t="n">
        <v>3.771136442533091</v>
      </c>
      <c r="G170" s="5" t="inlineStr">
        <is>
          <t>USD</t>
        </is>
      </c>
      <c r="H170" s="7" t="inlineStr">
        <is>
          <t>2025-09-30 / 2025-12-31 / 2026-03-31 / 2026-06-30</t>
        </is>
      </c>
      <c r="I170" s="8" t="n">
        <v>125.616</v>
      </c>
      <c r="J170" s="8" t="n">
        <v>147.434</v>
      </c>
      <c r="K170" s="8" t="n">
        <v>159.47</v>
      </c>
      <c r="L170" s="8" t="n">
        <v>177.16</v>
      </c>
      <c r="M170" s="9" t="n">
        <v>57.30636382202255</v>
      </c>
      <c r="N170" s="8" t="n">
        <v>184.52</v>
      </c>
      <c r="O170" s="10" t="inlineStr">
        <is>
          <t>淨利 +$19.0M
經常 +$48.1M
一次: -$10.3M（營收 8%）</t>
        </is>
      </c>
      <c r="P170" s="10" t="inlineStr">
        <is>
          <t>淨利 +$40.0M
經常 +$60.1M
一次: -$1.5M（營收 1%）</t>
        </is>
      </c>
      <c r="Q170" s="10" t="inlineStr">
        <is>
          <t>淨利 -$23.1M
經常 +$61.3M
一次: -$40.1M（營收 25%）</t>
        </is>
      </c>
      <c r="R170" s="10" t="inlineStr">
        <is>
          <t>淨利 +$44.3M
經常 +$72.9M
一次: -$6.9M（營收 4%）</t>
        </is>
      </c>
      <c r="S170" s="11" t="n">
        <v>0.31857</v>
      </c>
      <c r="T170" s="9" t="n">
        <v>41.16561300519304</v>
      </c>
      <c r="U170" s="9" t="n">
        <v>24.99661323097765</v>
      </c>
      <c r="V170" s="9" t="n">
        <v>58.25976518401445</v>
      </c>
      <c r="W170" s="10" t="inlineStr">
        <is>
          <t>-$6.9M・營收 3.9%</t>
        </is>
      </c>
      <c r="X170" s="10" t="inlineStr">
        <is>
          <t>四季皆正：+48 → +60 → +61 → +73（百萬）</t>
        </is>
      </c>
      <c r="Y170" s="10" t="inlineStr">
        <is>
          <t>四季營運皆正、最新季淨利為正 — 經常性已盈利</t>
        </is>
      </c>
      <c r="Z170" s="12" t="inlineStr">
        <is>
          <t>A</t>
        </is>
      </c>
      <c r="AA170" s="7" t="inlineStr">
        <is>
          <t>2026-06-30 / 2026-10-30</t>
        </is>
      </c>
    </row>
    <row r="171" ht="46" customHeight="1">
      <c r="A171" s="5" t="n">
        <v>170</v>
      </c>
      <c r="B171" s="6" t="inlineStr">
        <is>
          <t>APLE</t>
        </is>
      </c>
      <c r="C171" s="7" t="inlineStr">
        <is>
          <t>Apple Hospitality REIT, Inc.</t>
        </is>
      </c>
      <c r="D171" s="7" t="inlineStr">
        <is>
          <t>Real Estate</t>
        </is>
      </c>
      <c r="E171" s="7" t="inlineStr">
        <is>
          <t>REIT - Hotel &amp; Motel</t>
        </is>
      </c>
      <c r="F171" s="8" t="n">
        <v>3.682890088489901</v>
      </c>
      <c r="G171" s="5" t="inlineStr">
        <is>
          <t>USD</t>
        </is>
      </c>
      <c r="H171" s="7" t="inlineStr">
        <is>
          <t>2025-09-30 / 2025-12-31 / 2026-03-31 / 2026-06-30</t>
        </is>
      </c>
      <c r="I171" s="8" t="n">
        <v>373.878</v>
      </c>
      <c r="J171" s="8" t="n">
        <v>326.436</v>
      </c>
      <c r="K171" s="8" t="n">
        <v>337.741</v>
      </c>
      <c r="L171" s="8" t="n">
        <v>402.553</v>
      </c>
      <c r="M171" s="9" t="n">
        <v>4.73059812160157</v>
      </c>
      <c r="N171" s="8" t="n">
        <v>333.48026</v>
      </c>
      <c r="O171" s="10" t="inlineStr">
        <is>
          <t>淨利 +$50.9M
經常 +$73.8M
一次: 無重大</t>
        </is>
      </c>
      <c r="P171" s="10" t="inlineStr">
        <is>
          <t>淨利 +$29.6M
經常 +$44.4M
一次: +$5.1M（營收 2%）</t>
        </is>
      </c>
      <c r="Q171" s="10" t="inlineStr">
        <is>
          <t>淨利 +$27.7M
經常 +$48.0M
一次: 無重大</t>
        </is>
      </c>
      <c r="R171" s="10" t="inlineStr">
        <is>
          <t>淨利 +$67.1M
經常 +$90.4M
一次: 無重大</t>
        </is>
      </c>
      <c r="S171" s="11" t="n">
        <v>0.10037</v>
      </c>
      <c r="T171" s="9" t="n">
        <v>22.4469821365137</v>
      </c>
      <c r="U171" s="9" t="n">
        <v>16.66289904683358</v>
      </c>
      <c r="V171" s="9" t="n">
        <v>38.05014494985753</v>
      </c>
      <c r="W171" s="10" t="inlineStr">
        <is>
          <t>無重大</t>
        </is>
      </c>
      <c r="X171" s="10" t="inlineStr">
        <is>
          <t>四季皆正：+74 → +44 → +48 → +90（百萬）</t>
        </is>
      </c>
      <c r="Y171" s="10" t="inlineStr">
        <is>
          <t>四季營運皆正、最新季淨利為正 — 經常性已盈利</t>
        </is>
      </c>
      <c r="Z171" s="12" t="inlineStr">
        <is>
          <t>A</t>
        </is>
      </c>
      <c r="AA171" s="7" t="inlineStr">
        <is>
          <t>2026-06-30 / 2026-11-02</t>
        </is>
      </c>
    </row>
    <row r="172" ht="46" customHeight="1">
      <c r="A172" s="5" t="n">
        <v>171</v>
      </c>
      <c r="B172" s="6" t="inlineStr">
        <is>
          <t>AWR</t>
        </is>
      </c>
      <c r="C172" s="7" t="inlineStr">
        <is>
          <t>American States Water Company</t>
        </is>
      </c>
      <c r="D172" s="7" t="inlineStr">
        <is>
          <t>Utilities</t>
        </is>
      </c>
      <c r="E172" s="7" t="inlineStr">
        <is>
          <t>Utilities - Regulated Water</t>
        </is>
      </c>
      <c r="F172" s="8" t="n">
        <v>3.508941969677701</v>
      </c>
      <c r="G172" s="5" t="inlineStr">
        <is>
          <t>USD</t>
        </is>
      </c>
      <c r="H172" s="7" t="inlineStr">
        <is>
          <t>2025-09-30 / 2025-12-31 / 2026-03-31 / 2026-06-30</t>
        </is>
      </c>
      <c r="I172" s="8" t="n">
        <v>182.716</v>
      </c>
      <c r="J172" s="8" t="n">
        <v>164.278</v>
      </c>
      <c r="K172" s="8" t="n">
        <v>169.191</v>
      </c>
      <c r="L172" s="8" t="n">
        <v>181.29</v>
      </c>
      <c r="M172" s="9" t="n">
        <v>11.17584291023266</v>
      </c>
      <c r="N172" s="8" t="n">
        <v>162.30624</v>
      </c>
      <c r="O172" s="10" t="inlineStr">
        <is>
          <t>淨利 +$41.0M
經常 +$61.7M
一次: 無重大</t>
        </is>
      </c>
      <c r="P172" s="10" t="inlineStr">
        <is>
          <t>淨利 +$28.7M
經常 +$45.0M
一次: 無重大</t>
        </is>
      </c>
      <c r="Q172" s="10" t="inlineStr">
        <is>
          <t>淨利 +$29.9M
經常 +$51.4M
一次: 無重大</t>
        </is>
      </c>
      <c r="R172" s="10" t="inlineStr">
        <is>
          <t>淨利 +$43.1M
經常 +$64.0M
一次: 無重大</t>
        </is>
      </c>
      <c r="S172" s="11" t="n">
        <v>0.7</v>
      </c>
      <c r="T172" s="9" t="n">
        <v>35.28655744939048</v>
      </c>
      <c r="U172" s="9" t="n">
        <v>23.77461525732252</v>
      </c>
      <c r="V172" s="9" t="n">
        <v>75.88063323956092</v>
      </c>
      <c r="W172" s="10" t="inlineStr">
        <is>
          <t>無重大</t>
        </is>
      </c>
      <c r="X172" s="10" t="inlineStr">
        <is>
          <t>四季皆正：+62 → +45 → +51 → +64（百萬）</t>
        </is>
      </c>
      <c r="Y172" s="10" t="inlineStr">
        <is>
          <t>四季營運皆正、最新季淨利為正 — 經常性已盈利</t>
        </is>
      </c>
      <c r="Z172" s="12" t="inlineStr">
        <is>
          <t>A</t>
        </is>
      </c>
      <c r="AA172" s="7" t="inlineStr">
        <is>
          <t>2026-06-30 / 2026-11-04</t>
        </is>
      </c>
    </row>
    <row r="173" ht="46" customHeight="1">
      <c r="A173" s="5" t="n">
        <v>172</v>
      </c>
      <c r="B173" s="6" t="inlineStr">
        <is>
          <t>CXW</t>
        </is>
      </c>
      <c r="C173" s="7" t="inlineStr">
        <is>
          <t>CoreCivic, Inc.</t>
        </is>
      </c>
      <c r="D173" s="7" t="inlineStr">
        <is>
          <t>Real Estate</t>
        </is>
      </c>
      <c r="E173" s="7" t="inlineStr">
        <is>
          <t>Security &amp; Protection Services</t>
        </is>
      </c>
      <c r="F173" s="8" t="n">
        <v>3.432593003515534</v>
      </c>
      <c r="G173" s="5" t="inlineStr">
        <is>
          <t>USD</t>
        </is>
      </c>
      <c r="H173" s="7" t="inlineStr">
        <is>
          <t>2025-09-30 / 2025-12-31 / 2026-03-31 / 2026-06-30</t>
        </is>
      </c>
      <c r="I173" s="8" t="n">
        <v>580.437</v>
      </c>
      <c r="J173" s="8" t="n">
        <v>603.953</v>
      </c>
      <c r="K173" s="8" t="n">
        <v>614.729</v>
      </c>
      <c r="L173" s="8" t="n">
        <v>684.917</v>
      </c>
      <c r="M173" s="9" t="n">
        <v>27.26896026311634</v>
      </c>
      <c r="N173" s="8" t="n">
        <v>702.7726</v>
      </c>
      <c r="O173" s="10" t="inlineStr">
        <is>
          <t>淨利 +$26.3M
經常 +$52.2M
一次: 無重大</t>
        </is>
      </c>
      <c r="P173" s="10" t="inlineStr">
        <is>
          <t>淨利 +$26.5M
經常 +$55.8M
一次: 無重大</t>
        </is>
      </c>
      <c r="Q173" s="10" t="inlineStr">
        <is>
          <t>淨利 +$37.9M
經常 +$70.0M
一次: 無重大</t>
        </is>
      </c>
      <c r="R173" s="10" t="inlineStr">
        <is>
          <t>淨利 +$37.1M
經常 +$69.0M
一次: 無重大</t>
        </is>
      </c>
      <c r="S173" s="11" t="n">
        <v>0.49</v>
      </c>
      <c r="T173" s="9" t="n">
        <v>10.07333735328514</v>
      </c>
      <c r="U173" s="9" t="n">
        <v>5.422262843527025</v>
      </c>
      <c r="V173" s="9" t="n">
        <v>21.74482455538408</v>
      </c>
      <c r="W173" s="10" t="inlineStr">
        <is>
          <t>無重大</t>
        </is>
      </c>
      <c r="X173" s="10" t="inlineStr">
        <is>
          <t>四季皆正：+52 → +56 → +70 → +69（百萬）</t>
        </is>
      </c>
      <c r="Y173" s="10" t="inlineStr">
        <is>
          <t>四季營運皆正、最新季淨利為正 — 經常性已盈利</t>
        </is>
      </c>
      <c r="Z173" s="12" t="inlineStr">
        <is>
          <t>A</t>
        </is>
      </c>
      <c r="AA173" s="7" t="inlineStr">
        <is>
          <t>2026-06-30 / 2026-11-04</t>
        </is>
      </c>
    </row>
    <row r="174" ht="46" customHeight="1">
      <c r="A174" s="5" t="n">
        <v>173</v>
      </c>
      <c r="B174" s="6" t="inlineStr">
        <is>
          <t>NHC</t>
        </is>
      </c>
      <c r="C174" s="7" t="inlineStr">
        <is>
          <t>National HealthCare Corporation</t>
        </is>
      </c>
      <c r="D174" s="7" t="inlineStr">
        <is>
          <t>Health Care</t>
        </is>
      </c>
      <c r="E174" s="7" t="inlineStr">
        <is>
          <t>Medical Care Facilities</t>
        </is>
      </c>
      <c r="F174" s="8" t="n">
        <v>3.424207403199196</v>
      </c>
      <c r="G174" s="5" t="inlineStr">
        <is>
          <t>USD</t>
        </is>
      </c>
      <c r="H174" s="7" t="inlineStr">
        <is>
          <t>2025-09-30 / 2025-12-31 / 2026-03-31 / 2026-06-30</t>
        </is>
      </c>
      <c r="I174" s="8" t="n">
        <v>382.661</v>
      </c>
      <c r="J174" s="8" t="n">
        <v>386.513</v>
      </c>
      <c r="K174" s="8" t="n">
        <v>381.821</v>
      </c>
      <c r="L174" s="8" t="n">
        <v>408.025</v>
      </c>
      <c r="M174" s="9" t="n">
        <v>8.832786535435154</v>
      </c>
      <c r="N174" s="8" t="n"/>
      <c r="O174" s="10" t="inlineStr">
        <is>
          <t>淨利 +$39.2M
經常 +$30.4M
一次: +$17.3M（營收 5%）</t>
        </is>
      </c>
      <c r="P174" s="10" t="inlineStr">
        <is>
          <t>淨利 +$24.8M
經常 +$33.1M
一次: 無重大</t>
        </is>
      </c>
      <c r="Q174" s="10" t="inlineStr">
        <is>
          <t>淨利 +$35.9M
經常 +$32.3M
一次: +$8.9M（營收 2%）</t>
        </is>
      </c>
      <c r="R174" s="10" t="inlineStr">
        <is>
          <t>淨利 +$40.3M
經常 +$48.9M
一次: 無重大</t>
        </is>
      </c>
      <c r="S174" s="11" t="n"/>
      <c r="T174" s="9" t="n">
        <v>11.99313767538754</v>
      </c>
      <c r="U174" s="9" t="n">
        <v>9.881502358924086</v>
      </c>
      <c r="V174" s="9" t="n">
        <v>40.71392684271797</v>
      </c>
      <c r="W174" s="10" t="inlineStr">
        <is>
          <t>無重大</t>
        </is>
      </c>
      <c r="X174" s="10" t="inlineStr">
        <is>
          <t>四季皆正：+30 → +33 → +32 → +49（百萬）</t>
        </is>
      </c>
      <c r="Y174" s="10" t="inlineStr">
        <is>
          <t>四季營運皆正、最新季淨利為正 — 經常性已盈利</t>
        </is>
      </c>
      <c r="Z174" s="12" t="inlineStr">
        <is>
          <t>A</t>
        </is>
      </c>
      <c r="AA174" s="7" t="inlineStr">
        <is>
          <t>2026-06-30 / 2026-11-06</t>
        </is>
      </c>
    </row>
    <row r="175" ht="46" customHeight="1">
      <c r="A175" s="5" t="n">
        <v>174</v>
      </c>
      <c r="B175" s="6" t="inlineStr">
        <is>
          <t>VCYT</t>
        </is>
      </c>
      <c r="C175" s="7" t="inlineStr">
        <is>
          <t>Veracyte, Inc.</t>
        </is>
      </c>
      <c r="D175" s="7" t="inlineStr">
        <is>
          <t>Health Care</t>
        </is>
      </c>
      <c r="E175" s="7" t="inlineStr">
        <is>
          <t>Diagnostics &amp; Research</t>
        </is>
      </c>
      <c r="F175" s="8" t="n">
        <v>3.419017789078512</v>
      </c>
      <c r="G175" s="5" t="inlineStr">
        <is>
          <t>USD</t>
        </is>
      </c>
      <c r="H175" s="7" t="inlineStr">
        <is>
          <t>2025-09-30 / 2025-12-31 / 2026-03-31 / 2026-06-30</t>
        </is>
      </c>
      <c r="I175" s="8" t="n">
        <v>131.872</v>
      </c>
      <c r="J175" s="8" t="n">
        <v>140.636</v>
      </c>
      <c r="K175" s="8" t="n">
        <v>139.071</v>
      </c>
      <c r="L175" s="8" t="n">
        <v>150.321</v>
      </c>
      <c r="M175" s="9" t="n">
        <v>15.48584862173874</v>
      </c>
      <c r="N175" s="8" t="n">
        <v>157.30904</v>
      </c>
      <c r="O175" s="10" t="inlineStr">
        <is>
          <t>淨利 +$19.1M
經常 +$23.1M
一次: -$6.1M（營收 5%）</t>
        </is>
      </c>
      <c r="P175" s="10" t="inlineStr">
        <is>
          <t>淨利 +$41.1M
經常 +$39.9M
一次: -$2.2M（營收 2%）</t>
        </is>
      </c>
      <c r="Q175" s="10" t="inlineStr">
        <is>
          <t>淨利 +$28.7M
經常 +$22.6M
一次: 無重大</t>
        </is>
      </c>
      <c r="R175" s="10" t="inlineStr">
        <is>
          <t>淨利 +$25.5M
經常 +$23.0M
一次: 無重大</t>
        </is>
      </c>
      <c r="S175" s="11" t="n">
        <v>0.44909</v>
      </c>
      <c r="T175" s="9" t="n">
        <v>15.28728520965135</v>
      </c>
      <c r="U175" s="9" t="n">
        <v>16.95704525648446</v>
      </c>
      <c r="V175" s="9" t="n">
        <v>72.21146745963638</v>
      </c>
      <c r="W175" s="10" t="inlineStr">
        <is>
          <t>無重大</t>
        </is>
      </c>
      <c r="X175" s="10" t="inlineStr">
        <is>
          <t>四季皆正：+23 → +40 → +23 → +23（百萬）</t>
        </is>
      </c>
      <c r="Y175" s="10" t="inlineStr">
        <is>
          <t>四季營運皆正、最新季淨利為正 — 經常性已盈利</t>
        </is>
      </c>
      <c r="Z175" s="12" t="inlineStr">
        <is>
          <t>A</t>
        </is>
      </c>
      <c r="AA175" s="7" t="inlineStr">
        <is>
          <t>2026-06-30 / 2026-11-03</t>
        </is>
      </c>
    </row>
    <row r="176" ht="46" customHeight="1">
      <c r="A176" s="5" t="n">
        <v>175</v>
      </c>
      <c r="B176" s="6" t="inlineStr">
        <is>
          <t>PK</t>
        </is>
      </c>
      <c r="C176" s="7" t="inlineStr">
        <is>
          <t>Park Hotels &amp; Resorts Inc.</t>
        </is>
      </c>
      <c r="D176" s="7" t="inlineStr">
        <is>
          <t>Consumer Discretionary</t>
        </is>
      </c>
      <c r="E176" s="7" t="inlineStr">
        <is>
          <t>REIT - Hotel &amp; Motel</t>
        </is>
      </c>
      <c r="F176" s="8" t="n">
        <v>3.072422916153592</v>
      </c>
      <c r="G176" s="5" t="inlineStr">
        <is>
          <t>USD</t>
        </is>
      </c>
      <c r="H176" s="7" t="inlineStr">
        <is>
          <t>2025-09-30 / 2025-12-31 / 2026-03-31 / 2026-06-30</t>
        </is>
      </c>
      <c r="I176" s="8" t="n">
        <v>610</v>
      </c>
      <c r="J176" s="8" t="n">
        <v>629</v>
      </c>
      <c r="K176" s="8" t="n">
        <v>622</v>
      </c>
      <c r="L176" s="8" t="n">
        <v>680</v>
      </c>
      <c r="M176" s="9" t="n">
        <v>1.190476190476186</v>
      </c>
      <c r="N176" s="8" t="n">
        <v>629.52364</v>
      </c>
      <c r="O176" s="10" t="inlineStr">
        <is>
          <t>淨利 -$16.0M
經常 +$43.0M
一次: +$12.6M（營收 2%）</t>
        </is>
      </c>
      <c r="P176" s="10" t="inlineStr">
        <is>
          <t>淨利 -$205.0M
經常 +$74.0M
一次: -$236.8M（營收 38%）</t>
        </is>
      </c>
      <c r="Q176" s="10" t="inlineStr">
        <is>
          <t>淨利 +$10.0M
經常 +$68.0M
一次: 無重大</t>
        </is>
      </c>
      <c r="R176" s="10" t="inlineStr">
        <is>
          <t>淨利 +$47.0M
經常 +$119.0M
一次: -$21.8M（營收 3%）</t>
        </is>
      </c>
      <c r="S176" s="11" t="n">
        <v>0.11</v>
      </c>
      <c r="T176" s="9" t="n">
        <v>17.5</v>
      </c>
      <c r="U176" s="9" t="n">
        <v>6.911764705882353</v>
      </c>
      <c r="V176" s="9" t="n">
        <v>33.38235294117647</v>
      </c>
      <c r="W176" s="10" t="inlineStr">
        <is>
          <t>-$21.8M・營收 3.2%</t>
        </is>
      </c>
      <c r="X176" s="10" t="inlineStr">
        <is>
          <t>四季皆正：+43 → +74 → +68 → +119（百萬）</t>
        </is>
      </c>
      <c r="Y176" s="10" t="inlineStr">
        <is>
          <t>四季營運皆正、最新季淨利為正 — 經常性已盈利</t>
        </is>
      </c>
      <c r="Z176" s="12" t="inlineStr">
        <is>
          <t>A</t>
        </is>
      </c>
      <c r="AA176" s="7" t="inlineStr">
        <is>
          <t>2026-06-30 / 2026-11-05</t>
        </is>
      </c>
    </row>
    <row r="177" ht="46" customHeight="1">
      <c r="A177" s="5" t="n">
        <v>176</v>
      </c>
      <c r="B177" s="6" t="inlineStr">
        <is>
          <t>HG</t>
        </is>
      </c>
      <c r="C177" s="7" t="inlineStr">
        <is>
          <t>Hamilton Insurance Group, Ltd.</t>
        </is>
      </c>
      <c r="D177" s="7" t="inlineStr">
        <is>
          <t>Finance</t>
        </is>
      </c>
      <c r="E177" s="7" t="inlineStr">
        <is>
          <t>Insurance - Reinsurance</t>
        </is>
      </c>
      <c r="F177" s="8" t="n">
        <v>2.962302237109924</v>
      </c>
      <c r="G177" s="5" t="inlineStr">
        <is>
          <t>USD</t>
        </is>
      </c>
      <c r="H177" s="7" t="inlineStr">
        <is>
          <t>2025-09-30 / 2025-12-31 / 2026-03-31 / 2026-06-30</t>
        </is>
      </c>
      <c r="I177" s="8" t="n">
        <v>681.539</v>
      </c>
      <c r="J177" s="8" t="n">
        <v>742.905</v>
      </c>
      <c r="K177" s="8" t="n">
        <v>773.377</v>
      </c>
      <c r="L177" s="8" t="n">
        <v>855.221</v>
      </c>
      <c r="M177" s="9" t="n">
        <v>13.35177419269329</v>
      </c>
      <c r="N177" s="8" t="n">
        <v>616.5</v>
      </c>
      <c r="O177" s="10" t="inlineStr">
        <is>
          <t>淨利 +$136.2M
經常* +$180.3M
一次: 無重大</t>
        </is>
      </c>
      <c r="P177" s="10" t="inlineStr">
        <is>
          <t>淨利 +$172.2M
經常* +$189.7M
一次: 無重大</t>
        </is>
      </c>
      <c r="Q177" s="10" t="inlineStr">
        <is>
          <t>淨利 +$133.5M
經常* +$219.4M
一次: 無重大</t>
        </is>
      </c>
      <c r="R177" s="10" t="inlineStr">
        <is>
          <t>淨利 +$143.8M
經常* +$257.3M
一次: 無重大</t>
        </is>
      </c>
      <c r="S177" s="11" t="n">
        <v>1.01459</v>
      </c>
      <c r="T177" s="9" t="n">
        <v>30.08263361166295</v>
      </c>
      <c r="U177" s="9" t="n">
        <v>16.81226256137302</v>
      </c>
      <c r="V177" s="9" t="n"/>
      <c r="W177" s="10" t="inlineStr">
        <is>
          <t>無重大</t>
        </is>
      </c>
      <c r="X177" s="10" t="inlineStr">
        <is>
          <t>四季皆正：+180 → +190 → +219 → +257（百萬）</t>
        </is>
      </c>
      <c r="Y177" s="10" t="inlineStr">
        <is>
          <t>四季營運皆正、最新季淨利為正 — 經常性已盈利</t>
        </is>
      </c>
      <c r="Z177" s="12" t="inlineStr">
        <is>
          <t>A</t>
        </is>
      </c>
      <c r="AA177" s="7" t="inlineStr">
        <is>
          <t>2026-06-30 / 2026-11-03</t>
        </is>
      </c>
    </row>
    <row r="178" ht="46" customHeight="1">
      <c r="A178" s="5" t="n">
        <v>177</v>
      </c>
      <c r="B178" s="6" t="inlineStr">
        <is>
          <t>AEO</t>
        </is>
      </c>
      <c r="C178" s="7" t="inlineStr">
        <is>
          <t>American Eagle Outfitters, Inc.</t>
        </is>
      </c>
      <c r="D178" s="7" t="inlineStr">
        <is>
          <t>Consumer Discretionary</t>
        </is>
      </c>
      <c r="E178" s="7" t="inlineStr">
        <is>
          <t>Apparel Retail</t>
        </is>
      </c>
      <c r="F178" s="8" t="n">
        <v>2.914100261217392</v>
      </c>
      <c r="G178" s="5" t="inlineStr">
        <is>
          <t>USD</t>
        </is>
      </c>
      <c r="H178" s="7" t="inlineStr">
        <is>
          <t>2025-07-31 / 2025-10-31 / 2026-01-31 / 2026-04-30</t>
        </is>
      </c>
      <c r="I178" s="8" t="n">
        <v>1283.675</v>
      </c>
      <c r="J178" s="8" t="n">
        <v>1362.701</v>
      </c>
      <c r="K178" s="8" t="n">
        <v>1811.26</v>
      </c>
      <c r="L178" s="8" t="n">
        <v>1195.285</v>
      </c>
      <c r="M178" s="9" t="n">
        <v>9.699531662565786</v>
      </c>
      <c r="N178" s="8" t="n">
        <v>1421.73646</v>
      </c>
      <c r="O178" s="10" t="inlineStr">
        <is>
          <t>淨利 +$77.6M
經常 +$103.1M
一次: 無重大</t>
        </is>
      </c>
      <c r="P178" s="10" t="inlineStr">
        <is>
          <t>淨利 +$91.3M
經常 +$112.6M
一次: 無重大</t>
        </is>
      </c>
      <c r="Q178" s="10" t="inlineStr">
        <is>
          <t>淨利 +$87.9M
經常 +$180.2M
一次: -$63.7M（營收 4%）</t>
        </is>
      </c>
      <c r="R178" s="10" t="inlineStr">
        <is>
          <t>淨利 +$23.5M
經常 +$28.2M
一次: 無重大</t>
        </is>
      </c>
      <c r="S178" s="11" t="n">
        <v>0.54667</v>
      </c>
      <c r="T178" s="9" t="n">
        <v>2.361445178346587</v>
      </c>
      <c r="U178" s="9" t="n">
        <v>1.968149855473799</v>
      </c>
      <c r="V178" s="9" t="n">
        <v>38.16428717837169</v>
      </c>
      <c r="W178" s="10" t="inlineStr">
        <is>
          <t>無重大</t>
        </is>
      </c>
      <c r="X178" s="10" t="inlineStr">
        <is>
          <t>四季皆正：+103 → +113 → +180 → +28（百萬）</t>
        </is>
      </c>
      <c r="Y178" s="10" t="inlineStr">
        <is>
          <t>四季營運皆正、最新季淨利為正 — 經常性已盈利</t>
        </is>
      </c>
      <c r="Z178" s="12" t="inlineStr">
        <is>
          <t>A</t>
        </is>
      </c>
      <c r="AA178" s="7" t="inlineStr">
        <is>
          <t>2026-04-30 / 2026-09-09</t>
        </is>
      </c>
    </row>
    <row r="179" ht="46" customHeight="1">
      <c r="A179" s="5" t="n">
        <v>178</v>
      </c>
      <c r="B179" s="6" t="inlineStr">
        <is>
          <t>SLDE</t>
        </is>
      </c>
      <c r="C179" s="7" t="inlineStr">
        <is>
          <t>Slide Insurance Holdings, Inc.</t>
        </is>
      </c>
      <c r="D179" s="7" t="inlineStr">
        <is>
          <t>Finance</t>
        </is>
      </c>
      <c r="E179" s="7" t="inlineStr">
        <is>
          <t>Insurance - Property &amp; Casualty</t>
        </is>
      </c>
      <c r="F179" s="8" t="n">
        <v>2.881745107507384</v>
      </c>
      <c r="G179" s="5" t="inlineStr">
        <is>
          <t>USD</t>
        </is>
      </c>
      <c r="H179" s="7" t="inlineStr">
        <is>
          <t>2025-09-30 / 2025-12-31 / 2026-03-31 / 2026-06-30</t>
        </is>
      </c>
      <c r="I179" s="8" t="n">
        <v>265.693</v>
      </c>
      <c r="J179" s="8" t="n">
        <v>347.007</v>
      </c>
      <c r="K179" s="8" t="n">
        <v>389.283</v>
      </c>
      <c r="L179" s="8" t="n">
        <v>386.817</v>
      </c>
      <c r="M179" s="9" t="n">
        <v>47.86186913958723</v>
      </c>
      <c r="N179" s="8" t="n">
        <v>401.3175</v>
      </c>
      <c r="O179" s="10" t="inlineStr">
        <is>
          <t>淨利 +$111.0M
經常* +$147.0M
一次: 無重大</t>
        </is>
      </c>
      <c r="P179" s="10" t="inlineStr">
        <is>
          <t>淨利 +$170.4M
經常* +$222.0M
一次: 無重大</t>
        </is>
      </c>
      <c r="Q179" s="10" t="inlineStr">
        <is>
          <t>淨利 +$139.5M
經常* +$185.7M
一次: 無重大</t>
        </is>
      </c>
      <c r="R179" s="10" t="inlineStr">
        <is>
          <t>淨利 +$134.8M
經常* +$178.5M
一次: 無重大</t>
        </is>
      </c>
      <c r="S179" s="11" t="n">
        <v>1.104</v>
      </c>
      <c r="T179" s="9" t="n">
        <v>46.13576962749828</v>
      </c>
      <c r="U179" s="9" t="n">
        <v>34.86144611017613</v>
      </c>
      <c r="V179" s="9" t="n"/>
      <c r="W179" s="10" t="inlineStr">
        <is>
          <t>無重大</t>
        </is>
      </c>
      <c r="X179" s="10" t="inlineStr">
        <is>
          <t>四季皆正：+147 → +222 → +186 → +178（百萬）</t>
        </is>
      </c>
      <c r="Y179" s="10" t="inlineStr">
        <is>
          <t>四季營運皆正、最新季淨利為正 — 經常性已盈利</t>
        </is>
      </c>
      <c r="Z179" s="12" t="inlineStr">
        <is>
          <t>A</t>
        </is>
      </c>
      <c r="AA179" s="7" t="inlineStr">
        <is>
          <t>2026-06-30 / 2026-10-28</t>
        </is>
      </c>
    </row>
    <row r="180" ht="46" customHeight="1">
      <c r="A180" s="5" t="n">
        <v>179</v>
      </c>
      <c r="B180" s="6" t="inlineStr">
        <is>
          <t>WTTR</t>
        </is>
      </c>
      <c r="C180" s="7" t="inlineStr">
        <is>
          <t>Select Water Solutions, Inc.</t>
        </is>
      </c>
      <c r="D180" s="7" t="inlineStr">
        <is>
          <t>Energy</t>
        </is>
      </c>
      <c r="E180" s="7" t="inlineStr">
        <is>
          <t>Oil &amp; Gas Equipment &amp; Services</t>
        </is>
      </c>
      <c r="F180" s="8" t="n">
        <v>2.777925509617469</v>
      </c>
      <c r="G180" s="5" t="inlineStr">
        <is>
          <t>USD</t>
        </is>
      </c>
      <c r="H180" s="7" t="inlineStr">
        <is>
          <t>2025-09-30 / 2025-12-31 / 2026-03-31 / 2026-06-30</t>
        </is>
      </c>
      <c r="I180" s="8" t="n">
        <v>322.243</v>
      </c>
      <c r="J180" s="8" t="n">
        <v>346.502</v>
      </c>
      <c r="K180" s="8" t="n">
        <v>365.958</v>
      </c>
      <c r="L180" s="8" t="n">
        <v>395.807</v>
      </c>
      <c r="M180" s="9" t="n">
        <v>8.673997501475794</v>
      </c>
      <c r="N180" s="8" t="n">
        <v>380.35504</v>
      </c>
      <c r="O180" s="10" t="inlineStr">
        <is>
          <t>淨利 +$2.7M
經常 +$0.6M
一次: +$14.3M（營收 4%）</t>
        </is>
      </c>
      <c r="P180" s="10" t="inlineStr">
        <is>
          <t>淨利 -$0.3M
經常 +$0.9M
一次: 無重大</t>
        </is>
      </c>
      <c r="Q180" s="10" t="inlineStr">
        <is>
          <t>淨利 +$8.6M
經常 +$23.6M
一次: -$4.2M（營收 1%）</t>
        </is>
      </c>
      <c r="R180" s="10" t="inlineStr">
        <is>
          <t>淨利 +$21.0M
經常 +$34.5M
一次: 無重大</t>
        </is>
      </c>
      <c r="S180" s="11" t="n">
        <v>0.11809</v>
      </c>
      <c r="T180" s="9" t="n">
        <v>8.704747515834738</v>
      </c>
      <c r="U180" s="9" t="n">
        <v>5.314458814523239</v>
      </c>
      <c r="V180" s="9" t="n">
        <v>19.41375468346947</v>
      </c>
      <c r="W180" s="10" t="inlineStr">
        <is>
          <t>無重大</t>
        </is>
      </c>
      <c r="X180" s="10" t="inlineStr">
        <is>
          <t>四季皆正：+1 → +1 → +24 → +34（百萬）</t>
        </is>
      </c>
      <c r="Y180" s="10" t="inlineStr">
        <is>
          <t>四季營運皆正、最新季淨利為正 — 經常性已盈利</t>
        </is>
      </c>
      <c r="Z180" s="12" t="inlineStr">
        <is>
          <t>A</t>
        </is>
      </c>
      <c r="AA180" s="7" t="inlineStr">
        <is>
          <t>2026-06-30 / 2026-11-03</t>
        </is>
      </c>
    </row>
    <row r="181" ht="46" customHeight="1">
      <c r="A181" s="5" t="n">
        <v>180</v>
      </c>
      <c r="B181" s="6" t="inlineStr">
        <is>
          <t>HTO</t>
        </is>
      </c>
      <c r="C181" s="7" t="inlineStr">
        <is>
          <t>H2O America</t>
        </is>
      </c>
      <c r="D181" s="7" t="inlineStr">
        <is>
          <t>Utilities</t>
        </is>
      </c>
      <c r="E181" s="7" t="inlineStr">
        <is>
          <t>Utilities - Regulated Water</t>
        </is>
      </c>
      <c r="F181" s="8" t="n">
        <v>2.692229633359801</v>
      </c>
      <c r="G181" s="5" t="inlineStr">
        <is>
          <t>USD</t>
        </is>
      </c>
      <c r="H181" s="7" t="inlineStr">
        <is>
          <t>2025-06-30 / 2025-12-31 / 2026-03-31 / 2026-06-30</t>
        </is>
      </c>
      <c r="I181" s="8" t="n">
        <v>198.255</v>
      </c>
      <c r="J181" s="8" t="n">
        <v>194.186</v>
      </c>
      <c r="K181" s="8" t="n">
        <v>183.293</v>
      </c>
      <c r="L181" s="8" t="n">
        <v>210.474</v>
      </c>
      <c r="M181" s="9" t="n">
        <v>25.58189488004106</v>
      </c>
      <c r="N181" s="8" t="n">
        <v>204.58</v>
      </c>
      <c r="O181" s="10" t="inlineStr">
        <is>
          <t>淨利 +$24.7M
經常 +$43.9M
一次: 無重大</t>
        </is>
      </c>
      <c r="P181" s="10" t="inlineStr">
        <is>
          <t>淨利 +$16.2M
經常 +$33.1M
一次: 無重大</t>
        </is>
      </c>
      <c r="Q181" s="10" t="inlineStr">
        <is>
          <t>淨利 +$19.0M
經常 +$37.4M
一次: 無重大</t>
        </is>
      </c>
      <c r="R181" s="10" t="inlineStr">
        <is>
          <t>淨利 +$26.6M
經常 +$42.8M
一次: 無重大</t>
        </is>
      </c>
      <c r="S181" s="11" t="n">
        <v>0.32233</v>
      </c>
      <c r="T181" s="9" t="n">
        <v>20.31319782966067</v>
      </c>
      <c r="U181" s="9" t="n">
        <v>12.63291427919838</v>
      </c>
      <c r="V181" s="9" t="n">
        <v>55.84442734019404</v>
      </c>
      <c r="W181" s="10" t="inlineStr">
        <is>
          <t>無重大</t>
        </is>
      </c>
      <c r="X181" s="10" t="inlineStr">
        <is>
          <t>四季皆正：+44 → +33 → +37 → +43（百萬）</t>
        </is>
      </c>
      <c r="Y181" s="10" t="inlineStr">
        <is>
          <t>四季營運皆正、最新季淨利為正 — 經常性已盈利</t>
        </is>
      </c>
      <c r="Z181" s="12" t="inlineStr">
        <is>
          <t>A</t>
        </is>
      </c>
      <c r="AA181" s="7" t="inlineStr">
        <is>
          <t>2026-06-30 / 2026-10-26</t>
        </is>
      </c>
    </row>
    <row r="182" ht="46" customHeight="1">
      <c r="A182" s="5" t="n">
        <v>181</v>
      </c>
      <c r="B182" s="6" t="inlineStr">
        <is>
          <t>DRH</t>
        </is>
      </c>
      <c r="C182" s="7" t="inlineStr">
        <is>
          <t>DiamondRock Hospitality Company</t>
        </is>
      </c>
      <c r="D182" s="7" t="inlineStr">
        <is>
          <t>Real Estate</t>
        </is>
      </c>
      <c r="E182" s="7" t="inlineStr">
        <is>
          <t>REIT - Hotel &amp; Motel</t>
        </is>
      </c>
      <c r="F182" s="8" t="n">
        <v>2.471636626024056</v>
      </c>
      <c r="G182" s="5" t="inlineStr">
        <is>
          <t>USD</t>
        </is>
      </c>
      <c r="H182" s="7" t="inlineStr">
        <is>
          <t>2025-09-30 / 2025-12-31 / 2026-03-31 / 2026-06-30</t>
        </is>
      </c>
      <c r="I182" s="8" t="n">
        <v>285.384</v>
      </c>
      <c r="J182" s="8" t="n">
        <v>274.534</v>
      </c>
      <c r="K182" s="8" t="n">
        <v>258.162</v>
      </c>
      <c r="L182" s="8" t="n">
        <v>318.286</v>
      </c>
      <c r="M182" s="9" t="n">
        <v>4.110297003794305</v>
      </c>
      <c r="N182" s="8" t="n">
        <v>277.35114</v>
      </c>
      <c r="O182" s="10" t="inlineStr">
        <is>
          <t>淨利 +$20.1M
經常 +$44.8M
一次: -$7.3M（營收 3%）</t>
        </is>
      </c>
      <c r="P182" s="10" t="inlineStr">
        <is>
          <t>淨利 +$23.8M
經常 +$36.0M
一次: 無重大</t>
        </is>
      </c>
      <c r="Q182" s="10" t="inlineStr">
        <is>
          <t>淨利 +$14.5M
經常 +$28.6M
一次: 無重大</t>
        </is>
      </c>
      <c r="R182" s="10" t="inlineStr">
        <is>
          <t>淨利 +$90.5M
經常 +$73.3M
一次: +$31.0M（營收 10%）</t>
        </is>
      </c>
      <c r="S182" s="11" t="n">
        <v>0.12328</v>
      </c>
      <c r="T182" s="9" t="n">
        <v>23.0431121695582</v>
      </c>
      <c r="U182" s="9" t="n">
        <v>28.42726353028409</v>
      </c>
      <c r="V182" s="9" t="n">
        <v>60.87166887641933</v>
      </c>
      <c r="W182" s="10" t="inlineStr">
        <is>
          <t>+$31.0M・營收 9.7%</t>
        </is>
      </c>
      <c r="X182" s="10" t="inlineStr">
        <is>
          <t>四季皆正：+45 → +36 → +29 → +73（百萬）</t>
        </is>
      </c>
      <c r="Y182" s="10" t="inlineStr">
        <is>
          <t>四季營運皆正、最新季淨利為正 — 經常性已盈利</t>
        </is>
      </c>
      <c r="Z182" s="12" t="inlineStr">
        <is>
          <t>A</t>
        </is>
      </c>
      <c r="AA182" s="7" t="inlineStr">
        <is>
          <t>2026-06-30 / 2026-11-05</t>
        </is>
      </c>
    </row>
    <row r="183" ht="46" customHeight="1">
      <c r="A183" s="5" t="n">
        <v>182</v>
      </c>
      <c r="B183" s="6" t="inlineStr">
        <is>
          <t>NWBI</t>
        </is>
      </c>
      <c r="C183" s="7" t="inlineStr">
        <is>
          <t>Northwest Bancshares, Inc.</t>
        </is>
      </c>
      <c r="D183" s="7" t="inlineStr">
        <is>
          <t>Finance</t>
        </is>
      </c>
      <c r="E183" s="7" t="inlineStr">
        <is>
          <t>Banks - Regional</t>
        </is>
      </c>
      <c r="F183" s="8" t="n">
        <v>2.287691485931212</v>
      </c>
      <c r="G183" s="5" t="inlineStr">
        <is>
          <t>USD</t>
        </is>
      </c>
      <c r="H183" s="7" t="inlineStr">
        <is>
          <t>2025-09-30 / 2025-12-31 / 2026-03-31 / 2026-06-30</t>
        </is>
      </c>
      <c r="I183" s="8" t="n">
        <v>167.396</v>
      </c>
      <c r="J183" s="8" t="n">
        <v>179.087</v>
      </c>
      <c r="K183" s="8" t="n">
        <v>174.186</v>
      </c>
      <c r="L183" s="8" t="n">
        <v>180.502</v>
      </c>
      <c r="M183" s="9" t="n">
        <v>20.70159952923554</v>
      </c>
      <c r="N183" s="8" t="n">
        <v>185.65417</v>
      </c>
      <c r="O183" s="10" t="inlineStr">
        <is>
          <t>淨利 +$3.2M
經常* +$31.9M
一次: -$28.4M（營收 17%）</t>
        </is>
      </c>
      <c r="P183" s="10" t="inlineStr">
        <is>
          <t>淨利 +$45.7M
經常* +$61.8M
一次: -$3.1M（營收 2%）</t>
        </is>
      </c>
      <c r="Q183" s="10" t="inlineStr">
        <is>
          <t>淨利 +$50.5M
經常* +$67.1M
一次: 無重大</t>
        </is>
      </c>
      <c r="R183" s="10" t="inlineStr">
        <is>
          <t>淨利 +$53.5M
經常* +$70.6M
一次: 無重大</t>
        </is>
      </c>
      <c r="S183" s="11" t="n">
        <v>0.35</v>
      </c>
      <c r="T183" s="9" t="n">
        <v>39.08902660140996</v>
      </c>
      <c r="U183" s="9" t="n">
        <v>29.66393724169261</v>
      </c>
      <c r="V183" s="9" t="n"/>
      <c r="W183" s="10" t="inlineStr">
        <is>
          <t>無重大</t>
        </is>
      </c>
      <c r="X183" s="10" t="inlineStr">
        <is>
          <t>四季皆正：+32 → +62 → +67 → +71（百萬）</t>
        </is>
      </c>
      <c r="Y183" s="10" t="inlineStr">
        <is>
          <t>四季營運皆正、最新季淨利為正 — 經常性已盈利</t>
        </is>
      </c>
      <c r="Z183" s="12" t="inlineStr">
        <is>
          <t>A</t>
        </is>
      </c>
      <c r="AA183" s="7" t="inlineStr">
        <is>
          <t>2026-06-30 / 2026-10-26</t>
        </is>
      </c>
    </row>
    <row r="184" ht="46" customHeight="1">
      <c r="A184" s="5" t="n">
        <v>183</v>
      </c>
      <c r="B184" s="6" t="inlineStr">
        <is>
          <t>OFG</t>
        </is>
      </c>
      <c r="C184" s="7" t="inlineStr">
        <is>
          <t>OFG Bancorp</t>
        </is>
      </c>
      <c r="D184" s="7" t="inlineStr">
        <is>
          <t>Finance</t>
        </is>
      </c>
      <c r="E184" s="7" t="inlineStr">
        <is>
          <t>Banks - Regional</t>
        </is>
      </c>
      <c r="F184" s="8" t="n">
        <v>2.249369590821408</v>
      </c>
      <c r="G184" s="5" t="inlineStr">
        <is>
          <t>USD</t>
        </is>
      </c>
      <c r="H184" s="7" t="inlineStr">
        <is>
          <t>2025-09-30 / 2025-12-31 / 2026-03-31 / 2026-06-30</t>
        </is>
      </c>
      <c r="I184" s="8" t="n">
        <v>171.232</v>
      </c>
      <c r="J184" s="8" t="n">
        <v>174.394</v>
      </c>
      <c r="K184" s="8" t="n">
        <v>174.812</v>
      </c>
      <c r="L184" s="8" t="n">
        <v>175.596</v>
      </c>
      <c r="M184" s="9" t="n">
        <v>4.576829391761117</v>
      </c>
      <c r="N184" s="8" t="n">
        <v>189.44525</v>
      </c>
      <c r="O184" s="10" t="inlineStr">
        <is>
          <t>淨利 +$51.8M
經常* +$61.4M
一次: 無重大</t>
        </is>
      </c>
      <c r="P184" s="10" t="inlineStr">
        <is>
          <t>淨利 +$55.9M
經常* +$47.4M
一次: 無重大</t>
        </is>
      </c>
      <c r="Q184" s="10" t="inlineStr">
        <is>
          <t>淨利 +$53.9M
經常* +$68.8M
一次: 無重大</t>
        </is>
      </c>
      <c r="R184" s="10" t="inlineStr">
        <is>
          <t>淨利 +$58.8M
經常* +$74.5M
一次: 無重大</t>
        </is>
      </c>
      <c r="S184" s="11" t="n">
        <v>1.206</v>
      </c>
      <c r="T184" s="9" t="n">
        <v>42.41782272944714</v>
      </c>
      <c r="U184" s="9" t="n">
        <v>33.47285815166632</v>
      </c>
      <c r="V184" s="9" t="n"/>
      <c r="W184" s="10" t="inlineStr">
        <is>
          <t>無重大</t>
        </is>
      </c>
      <c r="X184" s="10" t="inlineStr">
        <is>
          <t>四季皆正：+61 → +47 → +69 → +74（百萬）</t>
        </is>
      </c>
      <c r="Y184" s="10" t="inlineStr">
        <is>
          <t>四季營運皆正、最新季淨利為正 — 經常性已盈利</t>
        </is>
      </c>
      <c r="Z184" s="12" t="inlineStr">
        <is>
          <t>A</t>
        </is>
      </c>
      <c r="AA184" s="7" t="inlineStr">
        <is>
          <t>2026-06-30 / 2026-10-21</t>
        </is>
      </c>
    </row>
    <row r="185" ht="46" customHeight="1">
      <c r="A185" s="5" t="n">
        <v>184</v>
      </c>
      <c r="B185" s="6" t="inlineStr">
        <is>
          <t>UFPT</t>
        </is>
      </c>
      <c r="C185" s="7" t="inlineStr">
        <is>
          <t>UFP Technologies, Inc.</t>
        </is>
      </c>
      <c r="D185" s="7" t="inlineStr">
        <is>
          <t>Health Care</t>
        </is>
      </c>
      <c r="E185" s="7" t="inlineStr">
        <is>
          <t>Medical Devices</t>
        </is>
      </c>
      <c r="F185" s="8" t="n">
        <v>2.236906693898809</v>
      </c>
      <c r="G185" s="5" t="inlineStr">
        <is>
          <t>USD</t>
        </is>
      </c>
      <c r="H185" s="7" t="inlineStr">
        <is>
          <t>2025-09-30 / 2025-12-31 / 2026-03-31 / 2026-06-30</t>
        </is>
      </c>
      <c r="I185" s="8" t="n">
        <v>154.558</v>
      </c>
      <c r="J185" s="8" t="n">
        <v>148.915</v>
      </c>
      <c r="K185" s="8" t="n">
        <v>154.202</v>
      </c>
      <c r="L185" s="8" t="n">
        <v>173.964</v>
      </c>
      <c r="M185" s="9" t="n">
        <v>15.0738212414669</v>
      </c>
      <c r="N185" s="8" t="n">
        <v>162.72025</v>
      </c>
      <c r="O185" s="10" t="inlineStr">
        <is>
          <t>淨利 +$16.4M
經常 +$23.7M
一次: 無重大</t>
        </is>
      </c>
      <c r="P185" s="10" t="inlineStr">
        <is>
          <t>淨利 +$17.6M
經常 +$21.0M
一次: 無重大</t>
        </is>
      </c>
      <c r="Q185" s="10" t="inlineStr">
        <is>
          <t>淨利 +$17.5M
經常 +$23.3M
一次: 無重大</t>
        </is>
      </c>
      <c r="R185" s="10" t="inlineStr">
        <is>
          <t>淨利 +$20.9M
經常 +$28.2M
一次: 無重大</t>
        </is>
      </c>
      <c r="S185" s="11" t="n">
        <v>2.5375</v>
      </c>
      <c r="T185" s="9" t="n">
        <v>16.19013129153158</v>
      </c>
      <c r="U185" s="9" t="n">
        <v>11.98581315674507</v>
      </c>
      <c r="V185" s="9" t="n">
        <v>29.26927410268792</v>
      </c>
      <c r="W185" s="10" t="inlineStr">
        <is>
          <t>無重大</t>
        </is>
      </c>
      <c r="X185" s="10" t="inlineStr">
        <is>
          <t>四季皆正：+24 → +21 → +23 → +28（百萬）</t>
        </is>
      </c>
      <c r="Y185" s="10" t="inlineStr">
        <is>
          <t>四季營運皆正、最新季淨利為正 — 經常性已盈利</t>
        </is>
      </c>
      <c r="Z185" s="12" t="inlineStr">
        <is>
          <t>A</t>
        </is>
      </c>
      <c r="AA185" s="7" t="inlineStr">
        <is>
          <t>2026-06-30 / 2026-11-02</t>
        </is>
      </c>
    </row>
    <row r="186" ht="46" customHeight="1">
      <c r="A186" s="5" t="n">
        <v>185</v>
      </c>
      <c r="B186" s="6" t="inlineStr">
        <is>
          <t>PEB</t>
        </is>
      </c>
      <c r="C186" s="7" t="inlineStr">
        <is>
          <t>Pebblebrook Hotel Trust</t>
        </is>
      </c>
      <c r="D186" s="7" t="inlineStr">
        <is>
          <t>Real Estate</t>
        </is>
      </c>
      <c r="E186" s="7" t="inlineStr">
        <is>
          <t>REIT - Hotel &amp; Motel</t>
        </is>
      </c>
      <c r="F186" s="8" t="n">
        <v>2.034554169805415</v>
      </c>
      <c r="G186" s="5" t="inlineStr">
        <is>
          <t>USD</t>
        </is>
      </c>
      <c r="H186" s="7" t="inlineStr">
        <is>
          <t>2025-09-30 / 2025-12-31 / 2026-03-31 / 2026-06-30</t>
        </is>
      </c>
      <c r="I186" s="8" t="n">
        <v>398.723</v>
      </c>
      <c r="J186" s="8" t="n">
        <v>349.018</v>
      </c>
      <c r="K186" s="8" t="n">
        <v>345.656</v>
      </c>
      <c r="L186" s="8" t="n">
        <v>407.142</v>
      </c>
      <c r="M186" s="9" t="n">
        <v>-0.09692371490195306</v>
      </c>
      <c r="N186" s="8" t="n">
        <v>342.76446</v>
      </c>
      <c r="O186" s="10" t="inlineStr">
        <is>
          <t>淨利 -$43.4M
經常 +$32.4M
一次: -$33.7M（營收 8%）</t>
        </is>
      </c>
      <c r="P186" s="10" t="inlineStr">
        <is>
          <t>淨利 -$26.2M
經常 +$5.2M
一次: 無重大</t>
        </is>
      </c>
      <c r="Q186" s="10" t="inlineStr">
        <is>
          <t>淨利 -$29.7M
經常 +$15.7M
一次: -$7.7M（營收 2%）</t>
        </is>
      </c>
      <c r="R186" s="10" t="inlineStr">
        <is>
          <t>淨利 +$20.5M
經常 +$58.4M
一次: 無重大</t>
        </is>
      </c>
      <c r="S186" s="11" t="n">
        <v>-0.245</v>
      </c>
      <c r="T186" s="9" t="n">
        <v>14.33234596283361</v>
      </c>
      <c r="U186" s="9" t="n">
        <v>5.04148429786168</v>
      </c>
      <c r="V186" s="9" t="n">
        <v>30.05265975998546</v>
      </c>
      <c r="W186" s="10" t="inlineStr">
        <is>
          <t>無重大</t>
        </is>
      </c>
      <c r="X186" s="10" t="inlineStr">
        <is>
          <t>四季皆正：+32 → +5 → +16 → +58（百萬）</t>
        </is>
      </c>
      <c r="Y186" s="10" t="inlineStr">
        <is>
          <t>四季營運皆正、最新季淨利為正 — 經常性已盈利</t>
        </is>
      </c>
      <c r="Z186" s="12" t="inlineStr">
        <is>
          <t>A</t>
        </is>
      </c>
      <c r="AA186" s="7" t="inlineStr">
        <is>
          <t>2026-06-30 / 2026-11-04</t>
        </is>
      </c>
    </row>
    <row r="187" ht="46" customHeight="1">
      <c r="A187" s="5" t="n">
        <v>186</v>
      </c>
      <c r="B187" s="6" t="inlineStr">
        <is>
          <t>KARO</t>
        </is>
      </c>
      <c r="C187" s="7" t="inlineStr">
        <is>
          <t>Karooooo Ltd.</t>
        </is>
      </c>
      <c r="D187" s="7" t="inlineStr">
        <is>
          <t>Technology</t>
        </is>
      </c>
      <c r="E187" s="7" t="inlineStr">
        <is>
          <t>Software - Application</t>
        </is>
      </c>
      <c r="F187" s="8" t="n">
        <v>2.02289328450288</v>
      </c>
      <c r="G187" s="5" t="inlineStr">
        <is>
          <t>ZAR</t>
        </is>
      </c>
      <c r="H187" s="7" t="inlineStr">
        <is>
          <t>2025-08-31 / 2025-11-30 / 2026-02-28 / 2026-05-31</t>
        </is>
      </c>
      <c r="I187" s="8" t="n">
        <v>1343.894</v>
      </c>
      <c r="J187" s="8" t="n">
        <v>1409.83</v>
      </c>
      <c r="K187" s="8" t="n">
        <v>1448.379</v>
      </c>
      <c r="L187" s="8" t="n">
        <v>1563.947</v>
      </c>
      <c r="M187" s="9" t="n">
        <v>22.46876901403818</v>
      </c>
      <c r="N187" s="8" t="n">
        <v>1672.89461</v>
      </c>
      <c r="O187" s="10" t="inlineStr">
        <is>
          <t>淨利 +R243.6M
經常 +R356.0M
一次: 無重大</t>
        </is>
      </c>
      <c r="P187" s="10" t="inlineStr">
        <is>
          <t>淨利 +R263.9M
經常 +R369.2M
一次: 無重大</t>
        </is>
      </c>
      <c r="Q187" s="10" t="inlineStr">
        <is>
          <t>淨利 +R222.1M
經常 +R337.7M
一次: 無重大</t>
        </is>
      </c>
      <c r="R187" s="10" t="inlineStr">
        <is>
          <t>淨利 +R294.3M
經常 +R409.7M
一次: 無重大</t>
        </is>
      </c>
      <c r="S187" s="11" t="n">
        <v>10.17148</v>
      </c>
      <c r="T187" s="9" t="n">
        <v>26.19564473732166</v>
      </c>
      <c r="U187" s="9" t="n">
        <v>18.81515166434669</v>
      </c>
      <c r="V187" s="9" t="n">
        <v>68.34515491893268</v>
      </c>
      <c r="W187" s="10" t="inlineStr">
        <is>
          <t>無重大</t>
        </is>
      </c>
      <c r="X187" s="10" t="inlineStr">
        <is>
          <t>四季皆正：+356 → +369 → +338 → +410（百萬）</t>
        </is>
      </c>
      <c r="Y187" s="10" t="inlineStr">
        <is>
          <t>四季營運皆正、最新季淨利為正 — 經常性已盈利</t>
        </is>
      </c>
      <c r="Z187" s="12" t="inlineStr">
        <is>
          <t>A</t>
        </is>
      </c>
      <c r="AA187" s="7" t="inlineStr">
        <is>
          <t>2026-05-31 / 2026-10-13</t>
        </is>
      </c>
    </row>
    <row r="188" ht="46" customHeight="1">
      <c r="A188" s="5" t="n">
        <v>187</v>
      </c>
      <c r="B188" s="6" t="inlineStr">
        <is>
          <t>ZD</t>
        </is>
      </c>
      <c r="C188" s="7" t="inlineStr">
        <is>
          <t>Ziff Davis, Inc.</t>
        </is>
      </c>
      <c r="D188" s="7" t="inlineStr">
        <is>
          <t>Telecommunications</t>
        </is>
      </c>
      <c r="E188" s="7" t="inlineStr">
        <is>
          <t>Advertising Agencies</t>
        </is>
      </c>
      <c r="F188" s="8" t="n">
        <v>1.909797485120946</v>
      </c>
      <c r="G188" s="5" t="inlineStr">
        <is>
          <t>USD</t>
        </is>
      </c>
      <c r="H188" s="7" t="inlineStr">
        <is>
          <t>2025-09-30 / 2025-12-31 / 2026-03-31 / 2026-06-30</t>
        </is>
      </c>
      <c r="I188" s="8" t="n">
        <v>363.711</v>
      </c>
      <c r="J188" s="8" t="n">
        <v>406.712</v>
      </c>
      <c r="K188" s="8" t="n">
        <v>267.641</v>
      </c>
      <c r="L188" s="8" t="n">
        <v>286.738</v>
      </c>
      <c r="M188" s="9" t="n">
        <v>-2.735725213108409</v>
      </c>
      <c r="N188" s="8" t="n">
        <v>339.8108</v>
      </c>
      <c r="O188" s="10" t="inlineStr">
        <is>
          <t>淨利 -$3.6M
經常 +$28.4M
一次: -$13.4M（營收 4%）</t>
        </is>
      </c>
      <c r="P188" s="10" t="inlineStr">
        <is>
          <t>淨利 +$0.4M
經常 +$86.0M
一次: -$45.8M（營收 11%）</t>
        </is>
      </c>
      <c r="Q188" s="10" t="inlineStr">
        <is>
          <t>淨利 +$22.3M
經常 +$2.9M
一次: 無重大</t>
        </is>
      </c>
      <c r="R188" s="10" t="inlineStr">
        <is>
          <t>淨利 +$624.5M
經常 +$10.1M
一次: -$32.9M（營收 11%）</t>
        </is>
      </c>
      <c r="S188" s="11" t="n">
        <v>2.18283</v>
      </c>
      <c r="T188" s="9" t="n">
        <v>3.527959321750169</v>
      </c>
      <c r="U188" s="9" t="n">
        <v>217.7810405317746</v>
      </c>
      <c r="V188" s="9" t="n">
        <v>84.05826922137979</v>
      </c>
      <c r="W188" s="10" t="inlineStr">
        <is>
          <t>-$32.9M・營收 11.5%</t>
        </is>
      </c>
      <c r="X188" s="10" t="inlineStr">
        <is>
          <t>四季皆正：+28 → +86 → +3 → +10（百萬）</t>
        </is>
      </c>
      <c r="Y188" s="10" t="inlineStr">
        <is>
          <t>四季營運皆正、最新季淨利為正 — 經常性已盈利</t>
        </is>
      </c>
      <c r="Z188" s="12" t="inlineStr">
        <is>
          <t>A</t>
        </is>
      </c>
      <c r="AA188" s="7" t="inlineStr">
        <is>
          <t>2026-06-30 / 2026-11-05</t>
        </is>
      </c>
    </row>
    <row r="189" ht="46" customHeight="1">
      <c r="A189" s="5" t="n">
        <v>188</v>
      </c>
      <c r="B189" s="6" t="inlineStr">
        <is>
          <t>LOB</t>
        </is>
      </c>
      <c r="C189" s="7" t="inlineStr">
        <is>
          <t>Live Oak Bancshares, Inc.</t>
        </is>
      </c>
      <c r="D189" s="7" t="inlineStr">
        <is>
          <t>Finance</t>
        </is>
      </c>
      <c r="E189" s="7" t="inlineStr">
        <is>
          <t>Banks - Regional</t>
        </is>
      </c>
      <c r="F189" s="8" t="n">
        <v>1.833294188700442</v>
      </c>
      <c r="G189" s="5" t="inlineStr">
        <is>
          <t>USD</t>
        </is>
      </c>
      <c r="H189" s="7" t="inlineStr">
        <is>
          <t>2025-09-30 / 2025-12-31 / 2026-03-31 / 2026-06-30</t>
        </is>
      </c>
      <c r="I189" s="8" t="n">
        <v>142.456</v>
      </c>
      <c r="J189" s="8" t="n">
        <v>132.999</v>
      </c>
      <c r="K189" s="8" t="n">
        <v>140.372</v>
      </c>
      <c r="L189" s="8" t="n">
        <v>151.181</v>
      </c>
      <c r="M189" s="9" t="n">
        <v>9.605457761795687</v>
      </c>
      <c r="N189" s="8" t="n">
        <v>170.704</v>
      </c>
      <c r="O189" s="10" t="inlineStr">
        <is>
          <t>淨利 +$25.6M
經常* +$36.6M
一次: 無重大</t>
        </is>
      </c>
      <c r="P189" s="10" t="inlineStr">
        <is>
          <t>淨利 +$44.1M
經常* +$61.9M
一次: 無重大</t>
        </is>
      </c>
      <c r="Q189" s="10" t="inlineStr">
        <is>
          <t>淨利 +$30.0M
經常* +$40.1M
一次: 無重大</t>
        </is>
      </c>
      <c r="R189" s="10" t="inlineStr">
        <is>
          <t>淨利 +$34.7M
經常* +$45.8M
一次: 無重大</t>
        </is>
      </c>
      <c r="S189" s="11" t="n">
        <v>0.91</v>
      </c>
      <c r="T189" s="9" t="n">
        <v>30.308041354403</v>
      </c>
      <c r="U189" s="9" t="n">
        <v>22.95328116628412</v>
      </c>
      <c r="V189" s="9" t="n"/>
      <c r="W189" s="10" t="inlineStr">
        <is>
          <t>無重大</t>
        </is>
      </c>
      <c r="X189" s="10" t="inlineStr">
        <is>
          <t>四季皆正：+37 → +62 → +40 → +46（百萬）</t>
        </is>
      </c>
      <c r="Y189" s="10" t="inlineStr">
        <is>
          <t>四季營運皆正、最新季淨利為正 — 經常性已盈利</t>
        </is>
      </c>
      <c r="Z189" s="12" t="inlineStr">
        <is>
          <t>A</t>
        </is>
      </c>
      <c r="AA189" s="7" t="inlineStr">
        <is>
          <t>2026-06-30 / 2026-10-21</t>
        </is>
      </c>
    </row>
    <row r="190" ht="46" customHeight="1">
      <c r="A190" s="5" t="n">
        <v>189</v>
      </c>
      <c r="B190" s="6" t="inlineStr">
        <is>
          <t>WKC</t>
        </is>
      </c>
      <c r="C190" s="7" t="inlineStr">
        <is>
          <t>World Kinect Corporation</t>
        </is>
      </c>
      <c r="D190" s="7" t="inlineStr">
        <is>
          <t>Energy</t>
        </is>
      </c>
      <c r="E190" s="7" t="inlineStr">
        <is>
          <t>Oil &amp; Gas Refining &amp; Marketing</t>
        </is>
      </c>
      <c r="F190" s="8" t="n">
        <v>1.810767348203215</v>
      </c>
      <c r="G190" s="5" t="inlineStr">
        <is>
          <t>USD</t>
        </is>
      </c>
      <c r="H190" s="7" t="inlineStr">
        <is>
          <t>2025-09-30 / 2025-12-31 / 2026-03-31 / 2026-06-30</t>
        </is>
      </c>
      <c r="I190" s="8" t="n">
        <v>9391.799999999999</v>
      </c>
      <c r="J190" s="8" t="n">
        <v>9029</v>
      </c>
      <c r="K190" s="8" t="n">
        <v>9685</v>
      </c>
      <c r="L190" s="8" t="n">
        <v>13591.2</v>
      </c>
      <c r="M190" s="9" t="n">
        <v>50.29027014474807</v>
      </c>
      <c r="N190" s="8" t="n">
        <v>11800.30956</v>
      </c>
      <c r="O190" s="10" t="inlineStr">
        <is>
          <t>淨利 +$25.7M
經常 +$67.7M
一次: 無重大</t>
        </is>
      </c>
      <c r="P190" s="10" t="inlineStr">
        <is>
          <t>淨利 -$279.7M
經常 +$47.7M
一次: -$300.0M（營收 3%）</t>
        </is>
      </c>
      <c r="Q190" s="10" t="inlineStr">
        <is>
          <t>淨利 +$26.2M
經常 +$63.0M
一次: 無重大</t>
        </is>
      </c>
      <c r="R190" s="10" t="inlineStr">
        <is>
          <t>淨利 +$48.4M
經常 +$102.3M
一次: 無重大</t>
        </is>
      </c>
      <c r="S190" s="11" t="n">
        <v>0.6</v>
      </c>
      <c r="T190" s="9" t="n">
        <v>0.7526929189475543</v>
      </c>
      <c r="U190" s="9" t="n">
        <v>0.3561127788569073</v>
      </c>
      <c r="V190" s="9" t="n">
        <v>2.686297015716052</v>
      </c>
      <c r="W190" s="10" t="inlineStr">
        <is>
          <t>無重大</t>
        </is>
      </c>
      <c r="X190" s="10" t="inlineStr">
        <is>
          <t>四季皆正：+68 → +48 → +63 → +102（百萬）</t>
        </is>
      </c>
      <c r="Y190" s="10" t="inlineStr">
        <is>
          <t>四季營運皆正、最新季淨利為正 — 經常性已盈利</t>
        </is>
      </c>
      <c r="Z190" s="12" t="inlineStr">
        <is>
          <t>A</t>
        </is>
      </c>
      <c r="AA190" s="7" t="inlineStr">
        <is>
          <t>2026-06-30 / 2026-10-22</t>
        </is>
      </c>
    </row>
    <row r="191" ht="46" customHeight="1">
      <c r="A191" s="5" t="n">
        <v>190</v>
      </c>
      <c r="B191" s="6" t="inlineStr">
        <is>
          <t>CBL</t>
        </is>
      </c>
      <c r="C191" s="7" t="inlineStr">
        <is>
          <t>CBL &amp; Associates Properties, Inc.</t>
        </is>
      </c>
      <c r="D191" s="7" t="inlineStr">
        <is>
          <t>Real Estate</t>
        </is>
      </c>
      <c r="E191" s="7" t="inlineStr">
        <is>
          <t>REIT - Retail</t>
        </is>
      </c>
      <c r="F191" s="8" t="n">
        <v>1.701232779720102</v>
      </c>
      <c r="G191" s="5" t="inlineStr">
        <is>
          <t>USD</t>
        </is>
      </c>
      <c r="H191" s="7" t="inlineStr">
        <is>
          <t>2025-09-30 / 2025-12-31 / 2026-03-31 / 2026-06-30</t>
        </is>
      </c>
      <c r="I191" s="8" t="n">
        <v>139.28</v>
      </c>
      <c r="J191" s="8" t="n">
        <v>156.42</v>
      </c>
      <c r="K191" s="8" t="n">
        <v>145.968</v>
      </c>
      <c r="L191" s="8" t="n">
        <v>146.479</v>
      </c>
      <c r="M191" s="9" t="n">
        <v>3.95585678293886</v>
      </c>
      <c r="N191" s="8" t="n"/>
      <c r="O191" s="10" t="inlineStr">
        <is>
          <t>淨利 +$74.3M
經常 +$31.6M
一次: +$83.3M（營收 60%）</t>
        </is>
      </c>
      <c r="P191" s="10" t="inlineStr">
        <is>
          <t>淨利 +$48.2M
經常 +$50.7M
一次: 無重大</t>
        </is>
      </c>
      <c r="Q191" s="10" t="inlineStr">
        <is>
          <t>淨利 +$45.4M
經常 +$34.7M
一次: +$22.0M（營收 15%）</t>
        </is>
      </c>
      <c r="R191" s="10" t="inlineStr">
        <is>
          <t>淨利 +$45.4M
經常 +$44.7M
一次: +$19.0M（營收 13%）</t>
        </is>
      </c>
      <c r="S191" s="11" t="n"/>
      <c r="T191" s="9" t="n">
        <v>30.53065627154745</v>
      </c>
      <c r="U191" s="9" t="n">
        <v>30.96553089521364</v>
      </c>
      <c r="V191" s="9" t="n">
        <v>65.39230879511739</v>
      </c>
      <c r="W191" s="10" t="inlineStr">
        <is>
          <t>+$19.0M・營收 13.0%</t>
        </is>
      </c>
      <c r="X191" s="10" t="inlineStr">
        <is>
          <t>四季皆正：+32 → +51 → +35 → +45（百萬）</t>
        </is>
      </c>
      <c r="Y191" s="10" t="inlineStr">
        <is>
          <t>四季營運皆正、最新季淨利為正 — 經常性已盈利</t>
        </is>
      </c>
      <c r="Z191" s="12" t="inlineStr">
        <is>
          <t>A</t>
        </is>
      </c>
      <c r="AA191" s="7" t="inlineStr">
        <is>
          <t>2026-06-30 / 2026-11-05</t>
        </is>
      </c>
    </row>
    <row r="192" ht="46" customHeight="1">
      <c r="A192" s="5" t="n">
        <v>191</v>
      </c>
      <c r="B192" s="6" t="inlineStr">
        <is>
          <t>AMAL</t>
        </is>
      </c>
      <c r="C192" s="7" t="inlineStr">
        <is>
          <t>Amalgamated Financial Corp.</t>
        </is>
      </c>
      <c r="D192" s="7" t="inlineStr">
        <is>
          <t>Finance</t>
        </is>
      </c>
      <c r="E192" s="7" t="inlineStr">
        <is>
          <t>Banks - Regional</t>
        </is>
      </c>
      <c r="F192" s="8" t="n">
        <v>1.470190228085106</v>
      </c>
      <c r="G192" s="5" t="inlineStr">
        <is>
          <t>USD</t>
        </is>
      </c>
      <c r="H192" s="7" t="inlineStr">
        <is>
          <t>2025-09-30 / 2025-12-31 / 2026-03-31 / 2026-06-30</t>
        </is>
      </c>
      <c r="I192" s="8" t="n">
        <v>85.011</v>
      </c>
      <c r="J192" s="8" t="n">
        <v>85.071</v>
      </c>
      <c r="K192" s="8" t="n">
        <v>92.818</v>
      </c>
      <c r="L192" s="8" t="n">
        <v>98.134</v>
      </c>
      <c r="M192" s="9" t="n">
        <v>21.32833846420139</v>
      </c>
      <c r="N192" s="8" t="n">
        <v>97.68033</v>
      </c>
      <c r="O192" s="10" t="inlineStr">
        <is>
          <t>淨利 +$26.8M
經常* +$36.7M
一次: 無重大</t>
        </is>
      </c>
      <c r="P192" s="10" t="inlineStr">
        <is>
          <t>淨利 +$26.6M
經常* +$33.3M
一次: 無重大</t>
        </is>
      </c>
      <c r="Q192" s="10" t="inlineStr">
        <is>
          <t>淨利 +$25.2M
經常* +$34.1M
一次: 無重大</t>
        </is>
      </c>
      <c r="R192" s="10" t="inlineStr">
        <is>
          <t>淨利 +$34.8M
經常* +$46.6M
一次: 無重大</t>
        </is>
      </c>
      <c r="S192" s="11" t="n">
        <v>1.05667</v>
      </c>
      <c r="T192" s="9" t="n">
        <v>47.50647074408462</v>
      </c>
      <c r="U192" s="9" t="n">
        <v>35.42706910958485</v>
      </c>
      <c r="V192" s="9" t="n"/>
      <c r="W192" s="10" t="inlineStr">
        <is>
          <t>無重大</t>
        </is>
      </c>
      <c r="X192" s="10" t="inlineStr">
        <is>
          <t>四季皆正：+37 → +33 → +34 → +47（百萬）</t>
        </is>
      </c>
      <c r="Y192" s="10" t="inlineStr">
        <is>
          <t>四季營運皆正、最新季淨利為正 — 經常性已盈利</t>
        </is>
      </c>
      <c r="Z192" s="12" t="inlineStr">
        <is>
          <t>A</t>
        </is>
      </c>
      <c r="AA192" s="7" t="inlineStr">
        <is>
          <t>2026-06-30 / 2026-10-22</t>
        </is>
      </c>
    </row>
    <row r="193" ht="46" customHeight="1">
      <c r="A193" s="5" t="n">
        <v>192</v>
      </c>
      <c r="B193" s="6" t="inlineStr">
        <is>
          <t>REX</t>
        </is>
      </c>
      <c r="C193" s="7" t="inlineStr">
        <is>
          <t>REX American Resources Corporation</t>
        </is>
      </c>
      <c r="D193" s="7" t="inlineStr">
        <is>
          <t>Industrials</t>
        </is>
      </c>
      <c r="E193" s="7" t="inlineStr">
        <is>
          <t>Chemicals</t>
        </is>
      </c>
      <c r="F193" s="8" t="n">
        <v>1.365597788061737</v>
      </c>
      <c r="G193" s="5" t="inlineStr">
        <is>
          <t>USD</t>
        </is>
      </c>
      <c r="H193" s="7" t="inlineStr">
        <is>
          <t>2025-07-31 / 2025-10-31 / 2026-01-31 / 2026-04-30</t>
        </is>
      </c>
      <c r="I193" s="8" t="n">
        <v>158.563</v>
      </c>
      <c r="J193" s="8" t="n">
        <v>175.625</v>
      </c>
      <c r="K193" s="8" t="n">
        <v>157.959</v>
      </c>
      <c r="L193" s="8" t="n">
        <v>156.499</v>
      </c>
      <c r="M193" s="9" t="n">
        <v>-1.162687886825819</v>
      </c>
      <c r="N193" s="8" t="n"/>
      <c r="O193" s="10" t="inlineStr">
        <is>
          <t>淨利 +$7.1M
經常 +$8.1M
一次: 無重大</t>
        </is>
      </c>
      <c r="P193" s="10" t="inlineStr">
        <is>
          <t>淨利 +$23.4M
經常 +$27.9M
一次: 無重大</t>
        </is>
      </c>
      <c r="Q193" s="10" t="inlineStr">
        <is>
          <t>淨利 +$43.7M
經常 +$16.7M
一次: 無重大</t>
        </is>
      </c>
      <c r="R193" s="10" t="inlineStr">
        <is>
          <t>淨利 +$18.5M
經常 +$19.3M
一次: 無重大</t>
        </is>
      </c>
      <c r="S193" s="11" t="n"/>
      <c r="T193" s="9" t="n">
        <v>12.35982338545294</v>
      </c>
      <c r="U193" s="9" t="n">
        <v>11.79049067406182</v>
      </c>
      <c r="V193" s="9" t="n">
        <v>18.57583754528783</v>
      </c>
      <c r="W193" s="10" t="inlineStr">
        <is>
          <t>無重大</t>
        </is>
      </c>
      <c r="X193" s="10" t="inlineStr">
        <is>
          <t>四季皆正：+8 → +28 → +17 → +19（百萬）</t>
        </is>
      </c>
      <c r="Y193" s="10" t="inlineStr">
        <is>
          <t>四季營運皆正、最新季淨利為正 — 經常性已盈利</t>
        </is>
      </c>
      <c r="Z193" s="12" t="inlineStr">
        <is>
          <t>A</t>
        </is>
      </c>
      <c r="AA193" s="7" t="inlineStr">
        <is>
          <t>2026-04-30 / 2026-12-03</t>
        </is>
      </c>
    </row>
    <row r="194" ht="46" customHeight="1">
      <c r="A194" s="5" t="n">
        <v>193</v>
      </c>
      <c r="B194" s="6" t="inlineStr">
        <is>
          <t>SENEA</t>
        </is>
      </c>
      <c r="C194" s="7" t="inlineStr">
        <is>
          <t>Seneca Foods Corporation</t>
        </is>
      </c>
      <c r="D194" s="7" t="inlineStr">
        <is>
          <t>Consumer Staples</t>
        </is>
      </c>
      <c r="E194" s="7" t="inlineStr">
        <is>
          <t>Packaged Foods</t>
        </is>
      </c>
      <c r="F194" s="8" t="n">
        <v>1.325046139953235</v>
      </c>
      <c r="G194" s="5" t="inlineStr">
        <is>
          <t>USD</t>
        </is>
      </c>
      <c r="H194" s="7" t="inlineStr">
        <is>
          <t>2025-09-30 / 2025-12-31 / 2026-03-31 / 2026-06-30</t>
        </is>
      </c>
      <c r="I194" s="8" t="n">
        <v>460.022</v>
      </c>
      <c r="J194" s="8" t="n">
        <v>508.348</v>
      </c>
      <c r="K194" s="8" t="n">
        <v>393.847</v>
      </c>
      <c r="L194" s="8" t="n">
        <v>405.174</v>
      </c>
      <c r="M194" s="9" t="n">
        <v>36.21217113004187</v>
      </c>
      <c r="N194" s="8" t="n">
        <v>549</v>
      </c>
      <c r="O194" s="10" t="inlineStr">
        <is>
          <t>淨利 +$29.7M
經常 +$41.5M
一次: 無重大</t>
        </is>
      </c>
      <c r="P194" s="10" t="inlineStr">
        <is>
          <t>淨利 +$44.7M
經常 +$60.0M
一次: 無重大</t>
        </is>
      </c>
      <c r="Q194" s="10" t="inlineStr">
        <is>
          <t>淨利 +$25.3M
經常 +$23.7M
一次: 無重大</t>
        </is>
      </c>
      <c r="R194" s="10" t="inlineStr">
        <is>
          <t>淨利 +$19.5M
經常 +$26.2M
一次: 無重大</t>
        </is>
      </c>
      <c r="S194" s="11" t="n">
        <v>4.83</v>
      </c>
      <c r="T194" s="9" t="n">
        <v>6.47351508240904</v>
      </c>
      <c r="U194" s="9" t="n">
        <v>4.806823734987931</v>
      </c>
      <c r="V194" s="9" t="n">
        <v>11.80998780770731</v>
      </c>
      <c r="W194" s="10" t="inlineStr">
        <is>
          <t>無重大</t>
        </is>
      </c>
      <c r="X194" s="10" t="inlineStr">
        <is>
          <t>四季皆正：+41 → +60 → +24 → +26（百萬）</t>
        </is>
      </c>
      <c r="Y194" s="10" t="inlineStr">
        <is>
          <t>四季營運皆正、最新季淨利為正 — 經常性已盈利</t>
        </is>
      </c>
      <c r="Z194" s="12" t="inlineStr">
        <is>
          <t>A</t>
        </is>
      </c>
      <c r="AA194" s="7" t="inlineStr">
        <is>
          <t>2026-06-30 / 2026-11-04</t>
        </is>
      </c>
    </row>
    <row r="195" ht="46" customHeight="1">
      <c r="A195" s="5" t="n">
        <v>194</v>
      </c>
      <c r="B195" s="6" t="inlineStr">
        <is>
          <t>AMN</t>
        </is>
      </c>
      <c r="C195" s="7" t="inlineStr">
        <is>
          <t>AMN Healthcare Services, Inc.</t>
        </is>
      </c>
      <c r="D195" s="7" t="inlineStr">
        <is>
          <t>Consumer Discretionary</t>
        </is>
      </c>
      <c r="E195" s="7" t="inlineStr">
        <is>
          <t>Medical Care Facilities</t>
        </is>
      </c>
      <c r="F195" s="8" t="n">
        <v>1.309073696214253</v>
      </c>
      <c r="G195" s="5" t="inlineStr">
        <is>
          <t>USD</t>
        </is>
      </c>
      <c r="H195" s="7" t="inlineStr">
        <is>
          <t>2025-09-30 / 2025-12-31 / 2026-03-31 / 2026-06-30</t>
        </is>
      </c>
      <c r="I195" s="8" t="n">
        <v>634.496</v>
      </c>
      <c r="J195" s="8" t="n">
        <v>748.225</v>
      </c>
      <c r="K195" s="8" t="n">
        <v>1378.361</v>
      </c>
      <c r="L195" s="8" t="n">
        <v>673.237</v>
      </c>
      <c r="M195" s="9" t="n">
        <v>2.288449120674585</v>
      </c>
      <c r="N195" s="8" t="n">
        <v>651.3130200000001</v>
      </c>
      <c r="O195" s="10" t="inlineStr">
        <is>
          <t>淨利 +$29.3M
經常 +$8.4M
一次: +$30.2M（營收 5%）</t>
        </is>
      </c>
      <c r="P195" s="10" t="inlineStr">
        <is>
          <t>淨利 -$7.7M
經常 +$8.2M
一次: 無重大</t>
        </is>
      </c>
      <c r="Q195" s="10" t="inlineStr">
        <is>
          <t>淨利 +$62.2M
經常 +$117.2M
一次: 無重大</t>
        </is>
      </c>
      <c r="R195" s="10" t="inlineStr">
        <is>
          <t>淨利 +$21.2M
經常 +$26.9M
一次: 無重大</t>
        </is>
      </c>
      <c r="S195" s="11" t="n">
        <v>0.2076</v>
      </c>
      <c r="T195" s="9" t="n">
        <v>3.996809444519538</v>
      </c>
      <c r="U195" s="9" t="n">
        <v>3.143023927680742</v>
      </c>
      <c r="V195" s="9" t="n">
        <v>30.5809098430419</v>
      </c>
      <c r="W195" s="10" t="inlineStr">
        <is>
          <t>無重大</t>
        </is>
      </c>
      <c r="X195" s="10" t="inlineStr">
        <is>
          <t>四季皆正：+8 → +8 → +117 → +27（百萬）</t>
        </is>
      </c>
      <c r="Y195" s="10" t="inlineStr">
        <is>
          <t>四季營運皆正、最新季淨利為正 — 經常性已盈利</t>
        </is>
      </c>
      <c r="Z195" s="12" t="inlineStr">
        <is>
          <t>A</t>
        </is>
      </c>
      <c r="AA195" s="7" t="inlineStr">
        <is>
          <t>2026-06-30 / 2026-11-05</t>
        </is>
      </c>
    </row>
    <row r="196" ht="46" customHeight="1">
      <c r="A196" s="5" t="n">
        <v>195</v>
      </c>
      <c r="B196" s="6" t="inlineStr">
        <is>
          <t>GNK</t>
        </is>
      </c>
      <c r="C196" s="7" t="inlineStr">
        <is>
          <t>Genco Shipping &amp; Trading Limited</t>
        </is>
      </c>
      <c r="D196" s="7" t="inlineStr">
        <is>
          <t>Consumer Discretionary</t>
        </is>
      </c>
      <c r="E196" s="7" t="inlineStr">
        <is>
          <t>Marine Shipping</t>
        </is>
      </c>
      <c r="F196" s="8" t="n">
        <v>1.205169627950108</v>
      </c>
      <c r="G196" s="5" t="inlineStr">
        <is>
          <t>USD</t>
        </is>
      </c>
      <c r="H196" s="7" t="inlineStr">
        <is>
          <t>2025-09-30 / 2025-12-31 / 2026-03-31 / 2026-06-30</t>
        </is>
      </c>
      <c r="I196" s="8" t="n">
        <v>79.92100000000001</v>
      </c>
      <c r="J196" s="8" t="n">
        <v>109.924</v>
      </c>
      <c r="K196" s="8" t="n">
        <v>114.429</v>
      </c>
      <c r="L196" s="8" t="n">
        <v>136.414</v>
      </c>
      <c r="M196" s="9" t="n">
        <v>68.53927031468143</v>
      </c>
      <c r="N196" s="8" t="n">
        <v>99.81010000000001</v>
      </c>
      <c r="O196" s="10" t="inlineStr">
        <is>
          <t>淨利 -$1.1M
經常 +$2.5M
一次: 無重大</t>
        </is>
      </c>
      <c r="P196" s="10" t="inlineStr">
        <is>
          <t>淨利 +$15.4M
經常 +$19.0M
一次: 無重大</t>
        </is>
      </c>
      <c r="Q196" s="10" t="inlineStr">
        <is>
          <t>淨利 +$9.3M
經常 +$11.8M
一次: 無重大</t>
        </is>
      </c>
      <c r="R196" s="10" t="inlineStr">
        <is>
          <t>淨利 +$16.6M
經常 +$21.0M
一次: 無重大</t>
        </is>
      </c>
      <c r="S196" s="11" t="n">
        <v>0.54</v>
      </c>
      <c r="T196" s="9" t="n">
        <v>15.40017886727169</v>
      </c>
      <c r="U196" s="9" t="n">
        <v>12.20475904232704</v>
      </c>
      <c r="V196" s="9" t="n">
        <v>31.5524799507382</v>
      </c>
      <c r="W196" s="10" t="inlineStr">
        <is>
          <t>無重大</t>
        </is>
      </c>
      <c r="X196" s="10" t="inlineStr">
        <is>
          <t>四季皆正：+2 → +19 → +12 → +21（百萬）</t>
        </is>
      </c>
      <c r="Y196" s="10" t="inlineStr">
        <is>
          <t>四季營運皆正、最新季淨利為正 — 經常性已盈利</t>
        </is>
      </c>
      <c r="Z196" s="12" t="inlineStr">
        <is>
          <t>A</t>
        </is>
      </c>
      <c r="AA196" s="7" t="inlineStr">
        <is>
          <t>2026-06-30 / 2026-11-04</t>
        </is>
      </c>
    </row>
    <row r="197" ht="46" customHeight="1">
      <c r="A197" s="5" t="n">
        <v>196</v>
      </c>
      <c r="B197" s="6" t="inlineStr">
        <is>
          <t>TRST</t>
        </is>
      </c>
      <c r="C197" s="7" t="inlineStr">
        <is>
          <t>TrustCo Bank Corp NY</t>
        </is>
      </c>
      <c r="D197" s="7" t="inlineStr">
        <is>
          <t>Finance</t>
        </is>
      </c>
      <c r="E197" s="7" t="inlineStr">
        <is>
          <t>Banks - Regional</t>
        </is>
      </c>
      <c r="F197" s="8" t="n">
        <v>0.9862467005986442</v>
      </c>
      <c r="G197" s="5" t="inlineStr">
        <is>
          <t>USD</t>
        </is>
      </c>
      <c r="H197" s="7" t="inlineStr">
        <is>
          <t>2025-09-30 / 2025-12-31 / 2026-03-31 / 2026-06-30</t>
        </is>
      </c>
      <c r="I197" s="8" t="n">
        <v>47.808</v>
      </c>
      <c r="J197" s="8" t="n">
        <v>48.165</v>
      </c>
      <c r="K197" s="8" t="n">
        <v>49.549</v>
      </c>
      <c r="L197" s="8" t="n">
        <v>51.502</v>
      </c>
      <c r="M197" s="9" t="n">
        <v>10.52405682647324</v>
      </c>
      <c r="N197" s="8" t="n"/>
      <c r="O197" s="10" t="inlineStr">
        <is>
          <t>淨利 +$16.3M
經常* +$21.3M
一次: 無重大</t>
        </is>
      </c>
      <c r="P197" s="10" t="inlineStr">
        <is>
          <t>淨利 +$15.6M
經常* +$21.1M
一次: 無重大</t>
        </is>
      </c>
      <c r="Q197" s="10" t="inlineStr">
        <is>
          <t>淨利 +$16.3M
經常* +$21.6M
一次: 無重大</t>
        </is>
      </c>
      <c r="R197" s="10" t="inlineStr">
        <is>
          <t>淨利 +$17.0M
經常* +$22.5M
一次: 無重大</t>
        </is>
      </c>
      <c r="S197" s="11" t="n"/>
      <c r="T197" s="9" t="n">
        <v>43.72451555279406</v>
      </c>
      <c r="U197" s="9" t="n">
        <v>32.94046833132694</v>
      </c>
      <c r="V197" s="9" t="n"/>
      <c r="W197" s="10" t="inlineStr">
        <is>
          <t>無重大</t>
        </is>
      </c>
      <c r="X197" s="10" t="inlineStr">
        <is>
          <t>四季皆正：+21 → +21 → +22 → +23（百萬）</t>
        </is>
      </c>
      <c r="Y197" s="10" t="inlineStr">
        <is>
          <t>四季營運皆正、最新季淨利為正 — 經常性已盈利</t>
        </is>
      </c>
      <c r="Z197" s="12" t="inlineStr">
        <is>
          <t>A</t>
        </is>
      </c>
      <c r="AA197" s="7" t="inlineStr">
        <is>
          <t>2026-06-30 / 2026-10-20</t>
        </is>
      </c>
    </row>
    <row r="198" ht="46" customHeight="1">
      <c r="A198" s="5" t="n">
        <v>197</v>
      </c>
      <c r="B198" s="6" t="inlineStr">
        <is>
          <t>KFRC</t>
        </is>
      </c>
      <c r="C198" s="7" t="inlineStr">
        <is>
          <t>Kforce Inc.</t>
        </is>
      </c>
      <c r="D198" s="7" t="inlineStr">
        <is>
          <t>Consumer Discretionary</t>
        </is>
      </c>
      <c r="E198" s="7" t="inlineStr">
        <is>
          <t>Staffing &amp; Employment Services</t>
        </is>
      </c>
      <c r="F198" s="8" t="n">
        <v>0.97657777</v>
      </c>
      <c r="G198" s="5" t="inlineStr">
        <is>
          <t>USD</t>
        </is>
      </c>
      <c r="H198" s="7" t="inlineStr">
        <is>
          <t>2025-09-30 / 2025-12-31 / 2026-03-31 / 2026-06-30</t>
        </is>
      </c>
      <c r="I198" s="8" t="n">
        <v>332.645</v>
      </c>
      <c r="J198" s="8" t="n">
        <v>332.018</v>
      </c>
      <c r="K198" s="8" t="n">
        <v>330.364</v>
      </c>
      <c r="L198" s="8" t="n">
        <v>349.331</v>
      </c>
      <c r="M198" s="9" t="n">
        <v>4.491259766209232</v>
      </c>
      <c r="N198" s="8" t="n">
        <v>349.4705</v>
      </c>
      <c r="O198" s="10" t="inlineStr">
        <is>
          <t>淨利 +$11.1M
經常 +$15.0M
一次: 無重大</t>
        </is>
      </c>
      <c r="P198" s="10" t="inlineStr">
        <is>
          <t>淨利 +$5.2M
經常 +$8.6M
一次: 無重大</t>
        </is>
      </c>
      <c r="Q198" s="10" t="inlineStr">
        <is>
          <t>淨利 +$7.9M
經常 +$12.0M
一次: 無重大</t>
        </is>
      </c>
      <c r="R198" s="10" t="inlineStr">
        <is>
          <t>淨利 +$12.3M
經常 +$18.8M
一次: 無重大</t>
        </is>
      </c>
      <c r="S198" s="11" t="n">
        <v>0.59594</v>
      </c>
      <c r="T198" s="9" t="n">
        <v>5.367974786091128</v>
      </c>
      <c r="U198" s="9" t="n">
        <v>3.527599898090922</v>
      </c>
      <c r="V198" s="9" t="n">
        <v>28.46984664973907</v>
      </c>
      <c r="W198" s="10" t="inlineStr">
        <is>
          <t>無重大</t>
        </is>
      </c>
      <c r="X198" s="10" t="inlineStr">
        <is>
          <t>四季皆正：+15 → +9 → +12 → +19（百萬）</t>
        </is>
      </c>
      <c r="Y198" s="10" t="inlineStr">
        <is>
          <t>四季營運皆正、最新季淨利為正 — 經常性已盈利</t>
        </is>
      </c>
      <c r="Z198" s="12" t="inlineStr">
        <is>
          <t>A</t>
        </is>
      </c>
      <c r="AA198" s="7" t="inlineStr">
        <is>
          <t>2026-06-30 / 2026-11-02</t>
        </is>
      </c>
    </row>
    <row r="199" ht="46" customHeight="1">
      <c r="A199" s="5" t="n">
        <v>198</v>
      </c>
      <c r="B199" s="6" t="inlineStr">
        <is>
          <t>CCBG</t>
        </is>
      </c>
      <c r="C199" s="7" t="inlineStr">
        <is>
          <t>Capital City Bank Group, Inc.</t>
        </is>
      </c>
      <c r="D199" s="7" t="inlineStr">
        <is>
          <t>Finance</t>
        </is>
      </c>
      <c r="E199" s="7" t="inlineStr">
        <is>
          <t>Banks - Regional</t>
        </is>
      </c>
      <c r="F199" s="8" t="n">
        <v>0.8871533161967213</v>
      </c>
      <c r="G199" s="5" t="inlineStr">
        <is>
          <t>USD</t>
        </is>
      </c>
      <c r="H199" s="7" t="inlineStr">
        <is>
          <t>2025-09-30 / 2025-12-31 / 2026-03-31 / 2026-06-30</t>
        </is>
      </c>
      <c r="I199" s="8" t="n">
        <v>63.413</v>
      </c>
      <c r="J199" s="8" t="n">
        <v>61.317</v>
      </c>
      <c r="K199" s="8" t="n">
        <v>60.317</v>
      </c>
      <c r="L199" s="8" t="n">
        <v>62.357</v>
      </c>
      <c r="M199" s="9" t="n">
        <v>2.717973215609404</v>
      </c>
      <c r="N199" s="8" t="n">
        <v>65.5</v>
      </c>
      <c r="O199" s="10" t="inlineStr">
        <is>
          <t>淨利 +$15.9M
經常* +$21.1M
一次: 無重大</t>
        </is>
      </c>
      <c r="P199" s="10" t="inlineStr">
        <is>
          <t>淨利 +$13.7M
經常* +$18.6M
一次: 無重大</t>
        </is>
      </c>
      <c r="Q199" s="10" t="inlineStr">
        <is>
          <t>淨利 +$15.8M
經常* +$20.7M
一次: 無重大</t>
        </is>
      </c>
      <c r="R199" s="10" t="inlineStr">
        <is>
          <t>淨利 +$16.3M
經常* +$21.2M
一次: 無重大</t>
        </is>
      </c>
      <c r="S199" s="11" t="n">
        <v>0.91667</v>
      </c>
      <c r="T199" s="9" t="n">
        <v>34.05872636592523</v>
      </c>
      <c r="U199" s="9" t="n">
        <v>26.1029234889427</v>
      </c>
      <c r="V199" s="9" t="n"/>
      <c r="W199" s="10" t="inlineStr">
        <is>
          <t>無重大</t>
        </is>
      </c>
      <c r="X199" s="10" t="inlineStr">
        <is>
          <t>四季皆正：+21 → +19 → +21 → +21（百萬）</t>
        </is>
      </c>
      <c r="Y199" s="10" t="inlineStr">
        <is>
          <t>四季營運皆正、最新季淨利為正 — 經常性已盈利</t>
        </is>
      </c>
      <c r="Z199" s="12" t="inlineStr">
        <is>
          <t>A</t>
        </is>
      </c>
      <c r="AA199" s="7" t="inlineStr">
        <is>
          <t>2026-06-30 / 2026-10-20</t>
        </is>
      </c>
    </row>
    <row r="200" ht="46" customHeight="1">
      <c r="A200" s="5" t="n">
        <v>199</v>
      </c>
      <c r="B200" s="6" t="inlineStr">
        <is>
          <t>HSHP</t>
        </is>
      </c>
      <c r="C200" s="7" t="inlineStr">
        <is>
          <t>Himalaya Shipping Ltd.</t>
        </is>
      </c>
      <c r="D200" s="7" t="inlineStr">
        <is>
          <t>Consumer Discretionary</t>
        </is>
      </c>
      <c r="E200" s="7" t="inlineStr">
        <is>
          <t>Marine Shipping</t>
        </is>
      </c>
      <c r="F200" s="8" t="n">
        <v>0.8578625000000001</v>
      </c>
      <c r="G200" s="5" t="inlineStr">
        <is>
          <t>USD</t>
        </is>
      </c>
      <c r="H200" s="7" t="inlineStr">
        <is>
          <t>2025-09-30 / 2025-12-31 / 2026-03-31 / 2026-06-30</t>
        </is>
      </c>
      <c r="I200" s="8" t="n">
        <v>37.9</v>
      </c>
      <c r="J200" s="8" t="n">
        <v>42.1</v>
      </c>
      <c r="K200" s="8" t="n">
        <v>33.6</v>
      </c>
      <c r="L200" s="8" t="n">
        <v>53.7</v>
      </c>
      <c r="M200" s="9" t="n">
        <v>79.59866220735788</v>
      </c>
      <c r="N200" s="8" t="n">
        <v>55.17294</v>
      </c>
      <c r="O200" s="10" t="inlineStr">
        <is>
          <t>淨利 +$9.5M
經常 +$22.0M
一次: 無重大</t>
        </is>
      </c>
      <c r="P200" s="10" t="inlineStr">
        <is>
          <t>淨利 +$13.5M
經常 +$26.0M
一次: 無重大</t>
        </is>
      </c>
      <c r="Q200" s="10" t="inlineStr">
        <is>
          <t>淨利 +$5.0M
經常 +$17.2M
一次: 無重大</t>
        </is>
      </c>
      <c r="R200" s="10" t="inlineStr">
        <is>
          <t>淨利 +$24.6M
經常 +$36.7M
一次: 無重大</t>
        </is>
      </c>
      <c r="S200" s="11" t="n"/>
      <c r="T200" s="9" t="n">
        <v>68.34264432029795</v>
      </c>
      <c r="U200" s="9" t="n">
        <v>45.81005586592179</v>
      </c>
      <c r="V200" s="9" t="n">
        <v>71.88081936685289</v>
      </c>
      <c r="W200" s="10" t="inlineStr">
        <is>
          <t>無重大</t>
        </is>
      </c>
      <c r="X200" s="10" t="inlineStr">
        <is>
          <t>四季皆正：+22 → +26 → +17 → +37（百萬）</t>
        </is>
      </c>
      <c r="Y200" s="10" t="inlineStr">
        <is>
          <t>四季營運皆正、最新季淨利為正 — 經常性已盈利</t>
        </is>
      </c>
      <c r="Z200" s="12" t="inlineStr">
        <is>
          <t>A</t>
        </is>
      </c>
      <c r="AA200" s="7" t="inlineStr">
        <is>
          <t>2026-06-30 / 2026-11-11</t>
        </is>
      </c>
    </row>
    <row r="201" ht="46" customHeight="1">
      <c r="A201" s="5" t="n">
        <v>200</v>
      </c>
      <c r="B201" s="6" t="inlineStr">
        <is>
          <t>PGC</t>
        </is>
      </c>
      <c r="C201" s="7" t="inlineStr">
        <is>
          <t>Peapack-Gladstone Financial Corporation</t>
        </is>
      </c>
      <c r="D201" s="7" t="inlineStr">
        <is>
          <t>Finance</t>
        </is>
      </c>
      <c r="E201" s="7" t="inlineStr">
        <is>
          <t>Banks - Regional</t>
        </is>
      </c>
      <c r="F201" s="8" t="n">
        <v>0.8222224138001298</v>
      </c>
      <c r="G201" s="5" t="inlineStr">
        <is>
          <t>USD</t>
        </is>
      </c>
      <c r="H201" s="7" t="inlineStr">
        <is>
          <t>2025-09-30 / 2025-12-31 / 2026-03-31 / 2026-06-30</t>
        </is>
      </c>
      <c r="I201" s="8" t="n">
        <v>69.119</v>
      </c>
      <c r="J201" s="8" t="n">
        <v>76.163</v>
      </c>
      <c r="K201" s="8" t="n">
        <v>80.75700000000001</v>
      </c>
      <c r="L201" s="8" t="n">
        <v>84.176</v>
      </c>
      <c r="M201" s="9" t="n">
        <v>24.31841677743318</v>
      </c>
      <c r="N201" s="8" t="n">
        <v>92.13</v>
      </c>
      <c r="O201" s="10" t="inlineStr">
        <is>
          <t>淨利 +$9.6M
經常* +$13.6M
一次: 無重大</t>
        </is>
      </c>
      <c r="P201" s="10" t="inlineStr">
        <is>
          <t>淨利 +$12.2M
經常* +$17.0M
一次: 無重大</t>
        </is>
      </c>
      <c r="Q201" s="10" t="inlineStr">
        <is>
          <t>淨利 +$14.2M
經常* +$19.7M
一次: 無重大</t>
        </is>
      </c>
      <c r="R201" s="10" t="inlineStr">
        <is>
          <t>淨利 +$15.8M
經常* +$22.3M
一次: 無重大</t>
        </is>
      </c>
      <c r="S201" s="11" t="n">
        <v>0.99</v>
      </c>
      <c r="T201" s="9" t="n">
        <v>26.48854780459989</v>
      </c>
      <c r="U201" s="9" t="n">
        <v>18.74287207755179</v>
      </c>
      <c r="V201" s="9" t="n"/>
      <c r="W201" s="10" t="inlineStr">
        <is>
          <t>無重大</t>
        </is>
      </c>
      <c r="X201" s="10" t="inlineStr">
        <is>
          <t>四季皆正：+14 → +17 → +20 → +22（百萬）</t>
        </is>
      </c>
      <c r="Y201" s="10" t="inlineStr">
        <is>
          <t>四季營運皆正、最新季淨利為正 — 經常性已盈利</t>
        </is>
      </c>
      <c r="Z201" s="12" t="inlineStr">
        <is>
          <t>A</t>
        </is>
      </c>
      <c r="AA201" s="7" t="inlineStr">
        <is>
          <t>2026-06-30 / 2026-10-28</t>
        </is>
      </c>
    </row>
    <row r="202" ht="46" customHeight="1">
      <c r="A202" s="5" t="n">
        <v>201</v>
      </c>
      <c r="B202" s="6" t="inlineStr">
        <is>
          <t>MAX</t>
        </is>
      </c>
      <c r="C202" s="7" t="inlineStr">
        <is>
          <t>MediaAlpha, Inc.</t>
        </is>
      </c>
      <c r="D202" s="7" t="inlineStr">
        <is>
          <t>Consumer Discretionary</t>
        </is>
      </c>
      <c r="E202" s="7" t="inlineStr">
        <is>
          <t>Internet Content &amp; Information</t>
        </is>
      </c>
      <c r="F202" s="8" t="n">
        <v>0.7382309350745633</v>
      </c>
      <c r="G202" s="5" t="inlineStr">
        <is>
          <t>USD</t>
        </is>
      </c>
      <c r="H202" s="7" t="inlineStr">
        <is>
          <t>2025-09-30 / 2025-12-31 / 2026-03-31 / 2026-06-30</t>
        </is>
      </c>
      <c r="I202" s="8" t="n">
        <v>306.514</v>
      </c>
      <c r="J202" s="8" t="n">
        <v>291.155</v>
      </c>
      <c r="K202" s="8" t="n">
        <v>310.004</v>
      </c>
      <c r="L202" s="8" t="n">
        <v>316.875</v>
      </c>
      <c r="M202" s="9" t="n">
        <v>25.93294703960702</v>
      </c>
      <c r="N202" s="8" t="n">
        <v>328.69367</v>
      </c>
      <c r="O202" s="10" t="inlineStr">
        <is>
          <t>淨利 +$14.9M
經常 +$19.7M
一次: 無重大</t>
        </is>
      </c>
      <c r="P202" s="10" t="inlineStr">
        <is>
          <t>淨利 +$31.4M
經常 +$22.3M
一次: 無重大</t>
        </is>
      </c>
      <c r="Q202" s="10" t="inlineStr">
        <is>
          <t>淨利 +$11.5M
經常 +$22.4M
一次: 無重大</t>
        </is>
      </c>
      <c r="R202" s="10" t="inlineStr">
        <is>
          <t>淨利 +$39.4M
經常 +$20.0M
一次: 無重大</t>
        </is>
      </c>
      <c r="S202" s="11" t="n">
        <v>0.41109</v>
      </c>
      <c r="T202" s="9" t="n">
        <v>6.2996449704142</v>
      </c>
      <c r="U202" s="9" t="n">
        <v>12.44591715976332</v>
      </c>
      <c r="V202" s="9" t="n">
        <v>14.25609467455621</v>
      </c>
      <c r="W202" s="10" t="inlineStr">
        <is>
          <t>無重大</t>
        </is>
      </c>
      <c r="X202" s="10" t="inlineStr">
        <is>
          <t>四季皆正：+20 → +22 → +22 → +20（百萬）</t>
        </is>
      </c>
      <c r="Y202" s="10" t="inlineStr">
        <is>
          <t>四季營運皆正、最新季淨利為正 — 經常性已盈利</t>
        </is>
      </c>
      <c r="Z202" s="12" t="inlineStr">
        <is>
          <t>A</t>
        </is>
      </c>
      <c r="AA202" s="7" t="inlineStr">
        <is>
          <t>2026-06-30 / 2026-10-28</t>
        </is>
      </c>
    </row>
    <row r="203" ht="46" customHeight="1">
      <c r="A203" s="5" t="n">
        <v>202</v>
      </c>
      <c r="B203" s="6" t="inlineStr">
        <is>
          <t>RRBI</t>
        </is>
      </c>
      <c r="C203" s="7" t="inlineStr">
        <is>
          <t>Red River Bancshares, Inc.</t>
        </is>
      </c>
      <c r="D203" s="7" t="inlineStr">
        <is>
          <t>Finance</t>
        </is>
      </c>
      <c r="E203" s="7" t="inlineStr">
        <is>
          <t>Banks - Regional</t>
        </is>
      </c>
      <c r="F203" s="8" t="n">
        <v>0.6805331965128505</v>
      </c>
      <c r="G203" s="5" t="inlineStr">
        <is>
          <t>USD</t>
        </is>
      </c>
      <c r="H203" s="7" t="inlineStr">
        <is>
          <t>2025-09-30 / 2025-12-31 / 2026-03-31 / 2026-06-30</t>
        </is>
      </c>
      <c r="I203" s="8" t="n">
        <v>31.555</v>
      </c>
      <c r="J203" s="8" t="n">
        <v>32.876</v>
      </c>
      <c r="K203" s="8" t="n">
        <v>32.834</v>
      </c>
      <c r="L203" s="8" t="n">
        <v>33.463</v>
      </c>
      <c r="M203" s="9" t="n">
        <v>11.02889943262884</v>
      </c>
      <c r="N203" s="8" t="n">
        <v>35.007</v>
      </c>
      <c r="O203" s="10" t="inlineStr">
        <is>
          <t>淨利 +$10.8M
經常* +$13.4M
一次: 無重大</t>
        </is>
      </c>
      <c r="P203" s="10" t="inlineStr">
        <is>
          <t>淨利 +$11.4M
經常* +$14.2M
一次: 無重大</t>
        </is>
      </c>
      <c r="Q203" s="10" t="inlineStr">
        <is>
          <t>淨利 +$12.0M
經常* +$14.9M
一次: 無重大</t>
        </is>
      </c>
      <c r="R203" s="10" t="inlineStr">
        <is>
          <t>淨利 +$11.8M
經常* +$14.7M
一次: 無重大</t>
        </is>
      </c>
      <c r="S203" s="11" t="n">
        <v>1.87333</v>
      </c>
      <c r="T203" s="9" t="n">
        <v>43.83647610794011</v>
      </c>
      <c r="U203" s="9" t="n">
        <v>35.15225771747901</v>
      </c>
      <c r="V203" s="9" t="n"/>
      <c r="W203" s="10" t="inlineStr">
        <is>
          <t>無重大</t>
        </is>
      </c>
      <c r="X203" s="10" t="inlineStr">
        <is>
          <t>四季皆正：+13 → +14 → +15 → +15（百萬）</t>
        </is>
      </c>
      <c r="Y203" s="10" t="inlineStr">
        <is>
          <t>四季營運皆正、最新季淨利為正 — 經常性已盈利</t>
        </is>
      </c>
      <c r="Z203" s="12" t="inlineStr">
        <is>
          <t>A</t>
        </is>
      </c>
      <c r="AA203" s="7" t="inlineStr">
        <is>
          <t>2026-06-30 / 2026-10-29</t>
        </is>
      </c>
    </row>
    <row r="204" ht="46" customHeight="1">
      <c r="A204" s="5" t="n">
        <v>203</v>
      </c>
      <c r="B204" s="6" t="inlineStr">
        <is>
          <t>PKE</t>
        </is>
      </c>
      <c r="C204" s="7" t="inlineStr">
        <is>
          <t>Park Aerospace Corp.</t>
        </is>
      </c>
      <c r="D204" s="7" t="inlineStr">
        <is>
          <t>Industrials</t>
        </is>
      </c>
      <c r="E204" s="7" t="inlineStr">
        <is>
          <t>Aerospace &amp; Defense</t>
        </is>
      </c>
      <c r="F204" s="8" t="n">
        <v>0.6803778800347323</v>
      </c>
      <c r="G204" s="5" t="inlineStr">
        <is>
          <t>USD</t>
        </is>
      </c>
      <c r="H204" s="7" t="inlineStr">
        <is>
          <t>2025-08-31 / 2025-11-30 / 2026-02-28 / 2026-05-31</t>
        </is>
      </c>
      <c r="I204" s="8" t="n">
        <v>16.381</v>
      </c>
      <c r="J204" s="8" t="n">
        <v>17.333</v>
      </c>
      <c r="K204" s="8" t="n">
        <v>24.187</v>
      </c>
      <c r="L204" s="8" t="n">
        <v>18.312</v>
      </c>
      <c r="M204" s="9" t="n">
        <v>18.90909090909092</v>
      </c>
      <c r="N204" s="8" t="n">
        <v>21.119</v>
      </c>
      <c r="O204" s="10" t="inlineStr">
        <is>
          <t>淨利 +$2.4M
經常 +$2.8M
一次: 無重大</t>
        </is>
      </c>
      <c r="P204" s="10" t="inlineStr">
        <is>
          <t>淨利 +$3.0M
經常 +$3.6M
一次: 無重大</t>
        </is>
      </c>
      <c r="Q204" s="10" t="inlineStr">
        <is>
          <t>淨利 +$3.8M
經常 +$4.6M
一次: 無重大</t>
        </is>
      </c>
      <c r="R204" s="10" t="inlineStr">
        <is>
          <t>淨利 +$3.5M
經常 +$4.0M
一次: 無重大</t>
        </is>
      </c>
      <c r="S204" s="11" t="n">
        <v>0.145</v>
      </c>
      <c r="T204" s="9" t="n">
        <v>21.92551332459589</v>
      </c>
      <c r="U204" s="9" t="n">
        <v>19.29335954565312</v>
      </c>
      <c r="V204" s="9" t="n">
        <v>34.81869812145042</v>
      </c>
      <c r="W204" s="10" t="inlineStr">
        <is>
          <t>無重大</t>
        </is>
      </c>
      <c r="X204" s="10" t="inlineStr">
        <is>
          <t>四季皆正：+3 → +4 → +5 → +4（百萬）</t>
        </is>
      </c>
      <c r="Y204" s="10" t="inlineStr">
        <is>
          <t>四季營運皆正、最新季淨利為正 — 經常性已盈利</t>
        </is>
      </c>
      <c r="Z204" s="12" t="inlineStr">
        <is>
          <t>A</t>
        </is>
      </c>
      <c r="AA204" s="7" t="inlineStr">
        <is>
          <t>2026-05-31 / 2026-10-08</t>
        </is>
      </c>
    </row>
    <row r="205" ht="46" customHeight="1">
      <c r="A205" s="5" t="n">
        <v>204</v>
      </c>
      <c r="B205" s="6" t="inlineStr">
        <is>
          <t>CLDT</t>
        </is>
      </c>
      <c r="C205" s="7" t="inlineStr">
        <is>
          <t>Chatham Lodging Trust</t>
        </is>
      </c>
      <c r="D205" s="7" t="inlineStr">
        <is>
          <t>Real Estate</t>
        </is>
      </c>
      <c r="E205" s="7" t="inlineStr">
        <is>
          <t>REIT - Hotel &amp; Motel</t>
        </is>
      </c>
      <c r="F205" s="8" t="n">
        <v>0.6072156067708895</v>
      </c>
      <c r="G205" s="5" t="inlineStr">
        <is>
          <t>USD</t>
        </is>
      </c>
      <c r="H205" s="7" t="inlineStr">
        <is>
          <t>2025-09-30 / 2025-12-31 / 2026-03-31 / 2026-06-30</t>
        </is>
      </c>
      <c r="I205" s="8" t="n">
        <v>78.40900000000001</v>
      </c>
      <c r="J205" s="8" t="n">
        <v>67.738</v>
      </c>
      <c r="K205" s="8" t="n">
        <v>67.504</v>
      </c>
      <c r="L205" s="8" t="n">
        <v>87.804</v>
      </c>
      <c r="M205" s="9" t="n">
        <v>9.35312725732933</v>
      </c>
      <c r="N205" s="8" t="n">
        <v>74.58275</v>
      </c>
      <c r="O205" s="10" t="inlineStr">
        <is>
          <t>淨利 +$1.5M
經常 +$9.9M
一次: 無重大</t>
        </is>
      </c>
      <c r="P205" s="10" t="inlineStr">
        <is>
          <t>淨利 +$2.4M
經常 +$3.9M
一次: +$6.9M（營收 10%）</t>
        </is>
      </c>
      <c r="Q205" s="10" t="inlineStr">
        <is>
          <t>淨利 -$6.4M
經常 +$1.5M
一次: 無重大</t>
        </is>
      </c>
      <c r="R205" s="10" t="inlineStr">
        <is>
          <t>淨利 +$6.2M
經常 +$15.4M
一次: 無重大</t>
        </is>
      </c>
      <c r="S205" s="11" t="n">
        <v>-0.11</v>
      </c>
      <c r="T205" s="9" t="n">
        <v>17.5242585759191</v>
      </c>
      <c r="U205" s="9" t="n">
        <v>7.091932030431416</v>
      </c>
      <c r="V205" s="9" t="n">
        <v>40.6917680287914</v>
      </c>
      <c r="W205" s="10" t="inlineStr">
        <is>
          <t>無重大</t>
        </is>
      </c>
      <c r="X205" s="10" t="inlineStr">
        <is>
          <t>四季皆正：+10 → +4 → +2 → +15（百萬）</t>
        </is>
      </c>
      <c r="Y205" s="10" t="inlineStr">
        <is>
          <t>四季營運皆正、最新季淨利為正 — 經常性已盈利</t>
        </is>
      </c>
      <c r="Z205" s="12" t="inlineStr">
        <is>
          <t>A</t>
        </is>
      </c>
      <c r="AA205" s="7" t="inlineStr">
        <is>
          <t>2026-06-30 / 2026-11-04</t>
        </is>
      </c>
    </row>
    <row r="206" ht="46" customHeight="1">
      <c r="A206" s="5" t="n">
        <v>205</v>
      </c>
      <c r="B206" s="6" t="inlineStr">
        <is>
          <t>INTC</t>
        </is>
      </c>
      <c r="C206" s="7" t="inlineStr">
        <is>
          <t>Intel Corporation</t>
        </is>
      </c>
      <c r="D206" s="7" t="inlineStr">
        <is>
          <t>Technology</t>
        </is>
      </c>
      <c r="E206" s="7" t="inlineStr">
        <is>
          <t>Semiconductors</t>
        </is>
      </c>
      <c r="F206" s="8" t="n">
        <v>506.3096591536584</v>
      </c>
      <c r="G206" s="5" t="inlineStr">
        <is>
          <t>USD</t>
        </is>
      </c>
      <c r="H206" s="7" t="inlineStr">
        <is>
          <t>2025-09-30 / 2025-12-31 / 2026-03-31 / 2026-06-30</t>
        </is>
      </c>
      <c r="I206" s="8" t="n">
        <v>13653</v>
      </c>
      <c r="J206" s="8" t="n">
        <v>13674</v>
      </c>
      <c r="K206" s="8" t="n">
        <v>13577</v>
      </c>
      <c r="L206" s="8" t="n">
        <v>16128</v>
      </c>
      <c r="M206" s="9" t="n">
        <v>25.42188350571584</v>
      </c>
      <c r="N206" s="8" t="n">
        <v>16944.76313</v>
      </c>
      <c r="O206" s="10" t="inlineStr">
        <is>
          <t>淨利 +$4.06B
經常 +$858.0M
一次: +$3.65B（營收 27%）</t>
        </is>
      </c>
      <c r="P206" s="10" t="inlineStr">
        <is>
          <t>淨利 -$591.0M
經常 +$550.0M
一次: -$314.4M（營收 2%）</t>
        </is>
      </c>
      <c r="Q206" s="10" t="inlineStr">
        <is>
          <t>淨利 -$3.73B
經常 +$934.0M
一次: -$3.14B（營收 23%）</t>
        </is>
      </c>
      <c r="R206" s="10" t="inlineStr">
        <is>
          <t>淨利 -$11.03B
經常 +$1.97B
一次: -$7.64B（營收 47%）</t>
        </is>
      </c>
      <c r="S206" s="11" t="n">
        <v>0.42761</v>
      </c>
      <c r="T206" s="9" t="n">
        <v>12.18998015873016</v>
      </c>
      <c r="U206" s="9" t="n">
        <v>-68.40897817460318</v>
      </c>
      <c r="V206" s="9" t="n">
        <v>40.35838293650794</v>
      </c>
      <c r="W206" s="10" t="inlineStr">
        <is>
          <t>-$7.64B・營收 47.4%</t>
        </is>
      </c>
      <c r="X206" s="10" t="inlineStr">
        <is>
          <t>四季皆正：+858 → +550 → +934 → +1,966（百萬）</t>
        </is>
      </c>
      <c r="Y206" s="10" t="inlineStr">
        <is>
          <t>最新季營運為正但淨利為負（利息／一次性／稅拖累）</t>
        </is>
      </c>
      <c r="Z206" s="13" t="inlineStr">
        <is>
          <t>B</t>
        </is>
      </c>
      <c r="AA206" s="7" t="inlineStr">
        <is>
          <t>2026-06-30 / 2026-10-22</t>
        </is>
      </c>
    </row>
    <row r="207" ht="46" customHeight="1">
      <c r="A207" s="5" t="n">
        <v>206</v>
      </c>
      <c r="B207" s="6" t="inlineStr">
        <is>
          <t>CRWD</t>
        </is>
      </c>
      <c r="C207" s="7" t="inlineStr">
        <is>
          <t>CrowdStrike Holdings, Inc.</t>
        </is>
      </c>
      <c r="D207" s="7" t="inlineStr">
        <is>
          <t>Technology</t>
        </is>
      </c>
      <c r="E207" s="7" t="inlineStr">
        <is>
          <t>Software - Infrastructure</t>
        </is>
      </c>
      <c r="F207" s="8" t="n">
        <v>218.2005148304663</v>
      </c>
      <c r="G207" s="5" t="inlineStr">
        <is>
          <t>USD</t>
        </is>
      </c>
      <c r="H207" s="7" t="inlineStr">
        <is>
          <t>2025-10-31 / 2026-01-31 / 2026-04-30 / 2026-07-31</t>
        </is>
      </c>
      <c r="I207" s="8" t="n">
        <v>1234.244</v>
      </c>
      <c r="J207" s="8" t="n">
        <v>1305.375</v>
      </c>
      <c r="K207" s="8" t="n">
        <v>1385.629</v>
      </c>
      <c r="L207" s="8" t="n">
        <v>1470.897</v>
      </c>
      <c r="M207" s="9" t="n">
        <v>25.83040193267132</v>
      </c>
      <c r="N207" s="8" t="n">
        <v>1620.9091</v>
      </c>
      <c r="O207" s="10" t="inlineStr">
        <is>
          <t>淨利 -$34.0M
經常 -$69.4M
一次: 無重大</t>
        </is>
      </c>
      <c r="P207" s="10" t="inlineStr">
        <is>
          <t>淨利 +$59.4M
經常 +$13.8M
一次: 無重大</t>
        </is>
      </c>
      <c r="Q207" s="10" t="inlineStr">
        <is>
          <t>淨利 +$27.8M
經常 -$30.6M
一次: 無重大</t>
        </is>
      </c>
      <c r="R207" s="10" t="inlineStr">
        <is>
          <t>淨利 +$5.3M
經常 -$33.2M
一次: 無重大</t>
        </is>
      </c>
      <c r="S207" s="11" t="n">
        <v>0.35636</v>
      </c>
      <c r="T207" s="9" t="n">
        <v>-2.259301637028289</v>
      </c>
      <c r="U207" s="9" t="n">
        <v>0.360732260654553</v>
      </c>
      <c r="V207" s="9" t="n">
        <v>74.57320261037992</v>
      </c>
      <c r="W207" s="10" t="inlineStr">
        <is>
          <t>無重大</t>
        </is>
      </c>
      <c r="X207" s="10" t="inlineStr">
        <is>
          <t>反覆：-69 → +14 → -31 → -33（百萬）</t>
        </is>
      </c>
      <c r="Y207" s="10" t="inlineStr">
        <is>
          <t>最新季淨利為正但營運仍虧 — 靠營運外項目</t>
        </is>
      </c>
      <c r="Z207" s="13" t="inlineStr">
        <is>
          <t>B</t>
        </is>
      </c>
      <c r="AA207" s="7" t="inlineStr">
        <is>
          <t>2026-07-31 / 2026-12-01</t>
        </is>
      </c>
    </row>
    <row r="208" ht="46" customHeight="1">
      <c r="A208" s="5" t="n">
        <v>207</v>
      </c>
      <c r="B208" s="6" t="inlineStr">
        <is>
          <t>GILD</t>
        </is>
      </c>
      <c r="C208" s="7" t="inlineStr">
        <is>
          <t>Gilead Sciences, Inc.</t>
        </is>
      </c>
      <c r="D208" s="7" t="inlineStr">
        <is>
          <t>Health Care</t>
        </is>
      </c>
      <c r="E208" s="7" t="inlineStr">
        <is>
          <t>Drug Manufacturers - General</t>
        </is>
      </c>
      <c r="F208" s="8" t="n">
        <v>187.2332284054511</v>
      </c>
      <c r="G208" s="5" t="inlineStr">
        <is>
          <t>USD</t>
        </is>
      </c>
      <c r="H208" s="7" t="inlineStr">
        <is>
          <t>2025-09-30 / 2025-12-31 / 2026-03-31 / 2026-06-30</t>
        </is>
      </c>
      <c r="I208" s="8" t="n">
        <v>7769</v>
      </c>
      <c r="J208" s="8" t="n">
        <v>7924</v>
      </c>
      <c r="K208" s="8" t="n">
        <v>6960</v>
      </c>
      <c r="L208" s="8" t="n">
        <v>7803</v>
      </c>
      <c r="M208" s="9" t="n">
        <v>10.19629995763309</v>
      </c>
      <c r="N208" s="8" t="n">
        <v>8130.04609</v>
      </c>
      <c r="O208" s="10" t="inlineStr">
        <is>
          <t>淨利 +$3.05B
經常 +$3.50B
一次: +$262.4M（營收 3%）</t>
        </is>
      </c>
      <c r="P208" s="10" t="inlineStr">
        <is>
          <t>淨利 +$2.18B
經常 +$2.99B
一次: -$594.1M（營收 7%）</t>
        </is>
      </c>
      <c r="Q208" s="10" t="inlineStr">
        <is>
          <t>淨利 +$2.02B
經常 +$2.69B
一次: 無重大</t>
        </is>
      </c>
      <c r="R208" s="10" t="inlineStr">
        <is>
          <t>淨利 -$10.50B
經常 +$2.54B
一次: -$7.55B（營收 97%）</t>
        </is>
      </c>
      <c r="S208" s="11" t="n">
        <v>2.18923</v>
      </c>
      <c r="T208" s="9" t="n">
        <v>32.53876714084327</v>
      </c>
      <c r="U208" s="9" t="n">
        <v>-134.5123670383186</v>
      </c>
      <c r="V208" s="9" t="n">
        <v>79.76419325900295</v>
      </c>
      <c r="W208" s="10" t="inlineStr">
        <is>
          <t>-$7.55B・營收 96.8%</t>
        </is>
      </c>
      <c r="X208" s="10" t="inlineStr">
        <is>
          <t>四季皆正：+3,497 → +2,988 → +2,692 → +2,539（百萬）</t>
        </is>
      </c>
      <c r="Y208" s="10" t="inlineStr">
        <is>
          <t>最新季營運為正但淨利為負（利息／一次性／稅拖累）</t>
        </is>
      </c>
      <c r="Z208" s="13" t="inlineStr">
        <is>
          <t>B</t>
        </is>
      </c>
      <c r="AA208" s="7" t="inlineStr">
        <is>
          <t>2026-06-30 / 2026-10-29</t>
        </is>
      </c>
    </row>
    <row r="209" ht="46" customHeight="1">
      <c r="A209" s="5" t="n">
        <v>208</v>
      </c>
      <c r="B209" s="6" t="inlineStr">
        <is>
          <t>BA</t>
        </is>
      </c>
      <c r="C209" s="7" t="inlineStr">
        <is>
          <t>The Boeing Company</t>
        </is>
      </c>
      <c r="D209" s="7" t="inlineStr">
        <is>
          <t>Industrials</t>
        </is>
      </c>
      <c r="E209" s="7" t="inlineStr">
        <is>
          <t>Aerospace &amp; Defense</t>
        </is>
      </c>
      <c r="F209" s="8" t="n">
        <v>167.7560367447983</v>
      </c>
      <c r="G209" s="5" t="inlineStr">
        <is>
          <t>USD</t>
        </is>
      </c>
      <c r="H209" s="7" t="inlineStr">
        <is>
          <t>2025-06-30 / 2025-09-30 / 2025-12-31 / 2026-03-31</t>
        </is>
      </c>
      <c r="I209" s="8" t="n">
        <v>22749</v>
      </c>
      <c r="J209" s="8" t="n">
        <v>23270</v>
      </c>
      <c r="K209" s="8" t="n">
        <v>23948</v>
      </c>
      <c r="L209" s="8" t="n">
        <v>22217</v>
      </c>
      <c r="M209" s="9" t="n">
        <v>13.95670906852688</v>
      </c>
      <c r="N209" s="8" t="n">
        <v>26355.09648</v>
      </c>
      <c r="O209" s="10" t="inlineStr">
        <is>
          <t>淨利 -$697.0M
經常 -$268.0M
一次: 無重大</t>
        </is>
      </c>
      <c r="P209" s="10" t="inlineStr">
        <is>
          <t>淨利 -$5.34B
經常 -$4.79B
一次: 無重大</t>
        </is>
      </c>
      <c r="Q209" s="10" t="inlineStr">
        <is>
          <t>淨利 +$7.87B
經常 -$815.0M
一次: +$9.48B（營收 40%）</t>
        </is>
      </c>
      <c r="R209" s="10" t="inlineStr">
        <is>
          <t>淨利 -$90.0M
經常 +$446.0M
一次: 無重大</t>
        </is>
      </c>
      <c r="S209" s="11" t="n">
        <v>0.01311</v>
      </c>
      <c r="T209" s="9" t="n">
        <v>2.007471755862627</v>
      </c>
      <c r="U209" s="9" t="n">
        <v>-0.4050951973713823</v>
      </c>
      <c r="V209" s="9" t="n">
        <v>11.45969302786155</v>
      </c>
      <c r="W209" s="10" t="inlineStr">
        <is>
          <t>無重大</t>
        </is>
      </c>
      <c r="X209" s="10" t="inlineStr">
        <is>
          <t>由虧轉正：-268 → -4,794 → -815 → +446（百萬）</t>
        </is>
      </c>
      <c r="Y209" s="10" t="inlineStr">
        <is>
          <t>最新季營運為正但淨利為負（利息／一次性／稅拖累）</t>
        </is>
      </c>
      <c r="Z209" s="13" t="inlineStr">
        <is>
          <t>B</t>
        </is>
      </c>
      <c r="AA209" s="7" t="inlineStr">
        <is>
          <t>2026-03-31 / 2026-10-28</t>
        </is>
      </c>
    </row>
    <row r="210" ht="46" customHeight="1">
      <c r="A210" s="5" t="n">
        <v>209</v>
      </c>
      <c r="B210" s="6" t="inlineStr">
        <is>
          <t>CEG</t>
        </is>
      </c>
      <c r="C210" s="7" t="inlineStr">
        <is>
          <t>Constellation Energy Corporation</t>
        </is>
      </c>
      <c r="D210" s="7" t="inlineStr">
        <is>
          <t>Utilities</t>
        </is>
      </c>
      <c r="E210" s="7" t="inlineStr">
        <is>
          <t>Utilities - Independent Power Producers</t>
        </is>
      </c>
      <c r="F210" s="8" t="n">
        <v>105.9237340261711</v>
      </c>
      <c r="G210" s="5" t="inlineStr">
        <is>
          <t>USD</t>
        </is>
      </c>
      <c r="H210" s="7" t="inlineStr">
        <is>
          <t>2025-09-30 / 2025-12-31 / 2026-03-31 / 2026-06-30</t>
        </is>
      </c>
      <c r="I210" s="8" t="n">
        <v>6570</v>
      </c>
      <c r="J210" s="8" t="n">
        <v>6074</v>
      </c>
      <c r="K210" s="8" t="n">
        <v>11122</v>
      </c>
      <c r="L210" s="8" t="n">
        <v>7504</v>
      </c>
      <c r="M210" s="9" t="n">
        <v>22.99623012620881</v>
      </c>
      <c r="N210" s="8" t="n">
        <v>8725.24468</v>
      </c>
      <c r="O210" s="10" t="inlineStr">
        <is>
          <t>淨利 +$930.0M
經常 +$1.46B
一次: 無重大</t>
        </is>
      </c>
      <c r="P210" s="10" t="inlineStr">
        <is>
          <t>淨利 +$432.0M
經常 +$806.0M
一次: 無重大</t>
        </is>
      </c>
      <c r="Q210" s="10" t="inlineStr">
        <is>
          <t>淨利 +$1.59B
經常 +$2.27B
一次: 無重大</t>
        </is>
      </c>
      <c r="R210" s="10" t="inlineStr">
        <is>
          <t>淨利 +$513.0M
經常 -$47.0M
一次: +$736.8M（營收 10%）</t>
        </is>
      </c>
      <c r="S210" s="11" t="n">
        <v>3.1193</v>
      </c>
      <c r="T210" s="9" t="n">
        <v>-0.6263326226012793</v>
      </c>
      <c r="U210" s="9" t="n">
        <v>6.836353944562899</v>
      </c>
      <c r="V210" s="9" t="n">
        <v>16.36460554371002</v>
      </c>
      <c r="W210" s="10" t="inlineStr">
        <is>
          <t>+$736.8M・營收 9.8%</t>
        </is>
      </c>
      <c r="X210" s="10" t="inlineStr">
        <is>
          <t>由正轉虧：+1,459 → +806 → +2,266 → -47（百萬）</t>
        </is>
      </c>
      <c r="Y210" s="10" t="inlineStr">
        <is>
          <t>最新季淨利為正但營運仍虧 — 靠營運外項目</t>
        </is>
      </c>
      <c r="Z210" s="13" t="inlineStr">
        <is>
          <t>B</t>
        </is>
      </c>
      <c r="AA210" s="7" t="inlineStr">
        <is>
          <t>2026-06-30 / 2026-11-09</t>
        </is>
      </c>
    </row>
    <row r="211" ht="46" customHeight="1">
      <c r="A211" s="5" t="n">
        <v>210</v>
      </c>
      <c r="B211" s="6" t="inlineStr">
        <is>
          <t>LITE</t>
        </is>
      </c>
      <c r="C211" s="7" t="inlineStr">
        <is>
          <t>Lumentum Holdings Inc.</t>
        </is>
      </c>
      <c r="D211" s="7" t="inlineStr">
        <is>
          <t>Telecommunications</t>
        </is>
      </c>
      <c r="E211" s="7" t="inlineStr">
        <is>
          <t>Communication Equipment</t>
        </is>
      </c>
      <c r="F211" s="8" t="n">
        <v>79.0485735</v>
      </c>
      <c r="G211" s="5" t="inlineStr">
        <is>
          <t>USD</t>
        </is>
      </c>
      <c r="H211" s="7" t="inlineStr">
        <is>
          <t>2025-09-30 / 2025-12-31 / 2026-03-31 / 2026-06-30</t>
        </is>
      </c>
      <c r="I211" s="8" t="n">
        <v>533.8</v>
      </c>
      <c r="J211" s="8" t="n">
        <v>665.5</v>
      </c>
      <c r="K211" s="8" t="n">
        <v>808.4</v>
      </c>
      <c r="L211" s="8" t="n">
        <v>1006.3</v>
      </c>
      <c r="M211" s="9" t="n">
        <v>109.3405450384855</v>
      </c>
      <c r="N211" s="8" t="n">
        <v>1472.28085</v>
      </c>
      <c r="O211" s="10" t="inlineStr">
        <is>
          <t>淨利 +$4.2M
經常 +$15.0M
一次: -$5.5M（營收 1%）</t>
        </is>
      </c>
      <c r="P211" s="10" t="inlineStr">
        <is>
          <t>淨利 +$78.2M
經常 +$63.9M
一次: +$22.1M（營收 3%）</t>
        </is>
      </c>
      <c r="Q211" s="10" t="inlineStr">
        <is>
          <t>淨利 +$142.5M
經常 +$175.6M
一次: 無重大</t>
        </is>
      </c>
      <c r="R211" s="10" t="inlineStr">
        <is>
          <t>淨利 -$7.16B
經常 +$281.7M
一次: -$7.45B（營收 740%）</t>
        </is>
      </c>
      <c r="S211" s="11" t="n">
        <v>5.01952</v>
      </c>
      <c r="T211" s="9" t="n">
        <v>27.99364006757428</v>
      </c>
      <c r="U211" s="9" t="n">
        <v>-711.5969392825201</v>
      </c>
      <c r="V211" s="9" t="n">
        <v>47.43118354367486</v>
      </c>
      <c r="W211" s="10" t="inlineStr">
        <is>
          <t>-$7.45B・營收 740.4%</t>
        </is>
      </c>
      <c r="X211" s="10" t="inlineStr">
        <is>
          <t>四季皆正：+15 → +64 → +176 → +282（百萬）</t>
        </is>
      </c>
      <c r="Y211" s="10" t="inlineStr">
        <is>
          <t>最新季營運為正但淨利為負（利息／一次性／稅拖累）</t>
        </is>
      </c>
      <c r="Z211" s="13" t="inlineStr">
        <is>
          <t>B</t>
        </is>
      </c>
      <c r="AA211" s="7" t="inlineStr">
        <is>
          <t>2026-06-30 / 2026-11-05</t>
        </is>
      </c>
    </row>
    <row r="212" ht="46" customHeight="1">
      <c r="A212" s="5" t="n">
        <v>211</v>
      </c>
      <c r="B212" s="6" t="inlineStr">
        <is>
          <t>DDOG</t>
        </is>
      </c>
      <c r="C212" s="7" t="inlineStr">
        <is>
          <t>Datadog, Inc.</t>
        </is>
      </c>
      <c r="D212" s="7" t="inlineStr">
        <is>
          <t>Technology</t>
        </is>
      </c>
      <c r="E212" s="7" t="inlineStr">
        <is>
          <t>Software - Application</t>
        </is>
      </c>
      <c r="F212" s="8" t="n">
        <v>76.45784486004055</v>
      </c>
      <c r="G212" s="5" t="inlineStr">
        <is>
          <t>USD</t>
        </is>
      </c>
      <c r="H212" s="7" t="inlineStr">
        <is>
          <t>2025-09-30 / 2025-12-31 / 2026-03-31 / 2026-06-30</t>
        </is>
      </c>
      <c r="I212" s="8" t="n">
        <v>885.651</v>
      </c>
      <c r="J212" s="8" t="n">
        <v>953.194</v>
      </c>
      <c r="K212" s="8" t="n">
        <v>1006.426</v>
      </c>
      <c r="L212" s="8" t="n">
        <v>1121.454</v>
      </c>
      <c r="M212" s="9" t="n">
        <v>35.64444336929702</v>
      </c>
      <c r="N212" s="8" t="n">
        <v>1199.09078</v>
      </c>
      <c r="O212" s="10" t="inlineStr">
        <is>
          <t>淨利 +$33.9M
經常 -$5.8M
一次: 無重大</t>
        </is>
      </c>
      <c r="P212" s="10" t="inlineStr">
        <is>
          <t>淨利 +$46.6M
經常 +$8.0M
一次: 無重大</t>
        </is>
      </c>
      <c r="Q212" s="10" t="inlineStr">
        <is>
          <t>淨利 +$52.6M
經常 +$7.3M
一次: 無重大</t>
        </is>
      </c>
      <c r="R212" s="10" t="inlineStr">
        <is>
          <t>淨利 +$44.6M
經常 +$7.5M
一次: 無重大</t>
        </is>
      </c>
      <c r="S212" s="11" t="n">
        <v>0.63785</v>
      </c>
      <c r="T212" s="9" t="n">
        <v>0.6656536960053644</v>
      </c>
      <c r="U212" s="9" t="n">
        <v>3.973234747033762</v>
      </c>
      <c r="V212" s="9" t="n">
        <v>78.58913517629792</v>
      </c>
      <c r="W212" s="10" t="inlineStr">
        <is>
          <t>無重大</t>
        </is>
      </c>
      <c r="X212" s="10" t="inlineStr">
        <is>
          <t>由虧轉正：-6 → +8 → +7 → +7（百萬）</t>
        </is>
      </c>
      <c r="Y212" s="10" t="inlineStr">
        <is>
          <t>最新季已盈利，惟四季未全正 — 盈利未穩定</t>
        </is>
      </c>
      <c r="Z212" s="13" t="inlineStr">
        <is>
          <t>B</t>
        </is>
      </c>
      <c r="AA212" s="7" t="inlineStr">
        <is>
          <t>2026-06-30 / 2026-11-05</t>
        </is>
      </c>
    </row>
    <row r="213" ht="46" customHeight="1">
      <c r="A213" s="5" t="n">
        <v>212</v>
      </c>
      <c r="B213" s="6" t="inlineStr">
        <is>
          <t>AXON</t>
        </is>
      </c>
      <c r="C213" s="7" t="inlineStr">
        <is>
          <t>Axon Enterprise, Inc.</t>
        </is>
      </c>
      <c r="D213" s="7" t="inlineStr">
        <is>
          <t>Industrials</t>
        </is>
      </c>
      <c r="E213" s="7" t="inlineStr">
        <is>
          <t>Aerospace &amp; Defense</t>
        </is>
      </c>
      <c r="F213" s="8" t="n">
        <v>41.89169779277765</v>
      </c>
      <c r="G213" s="5" t="inlineStr">
        <is>
          <t>USD</t>
        </is>
      </c>
      <c r="H213" s="7" t="inlineStr">
        <is>
          <t>2025-09-30 / 2025-12-31 / 2026-03-31 / 2026-06-30</t>
        </is>
      </c>
      <c r="I213" s="8" t="n">
        <v>710.641</v>
      </c>
      <c r="J213" s="8" t="n">
        <v>796.724</v>
      </c>
      <c r="K213" s="8" t="n">
        <v>807.345</v>
      </c>
      <c r="L213" s="8" t="n">
        <v>904.389</v>
      </c>
      <c r="M213" s="9" t="n">
        <v>35.27862290550425</v>
      </c>
      <c r="N213" s="8" t="n">
        <v>1058.795</v>
      </c>
      <c r="O213" s="10" t="inlineStr">
        <is>
          <t>淨利 -$2.2M
經常 -$2.1M
一次: +$18.0M（營收 3%）</t>
        </is>
      </c>
      <c r="P213" s="10" t="inlineStr">
        <is>
          <t>淨利 +$2.7M
經常 -$50.1M
一次: 無重大</t>
        </is>
      </c>
      <c r="Q213" s="10" t="inlineStr">
        <is>
          <t>淨利 +$169.3M
經常 +$29.2M
一次: +$159.8M（營收 20%）</t>
        </is>
      </c>
      <c r="R213" s="10" t="inlineStr">
        <is>
          <t>淨利 +$29.4M
經常 +$46.8M
一次: 無重大</t>
        </is>
      </c>
      <c r="S213" s="11" t="n">
        <v>2.27991</v>
      </c>
      <c r="T213" s="9" t="n">
        <v>5.172331817392737</v>
      </c>
      <c r="U213" s="9" t="n">
        <v>3.253798973671727</v>
      </c>
      <c r="V213" s="9" t="n">
        <v>60.42167695538092</v>
      </c>
      <c r="W213" s="10" t="inlineStr">
        <is>
          <t>無重大</t>
        </is>
      </c>
      <c r="X213" s="10" t="inlineStr">
        <is>
          <t>由虧轉正：-2 → -50 → +29 → +47（百萬）</t>
        </is>
      </c>
      <c r="Y213" s="10" t="inlineStr">
        <is>
          <t>最新季已盈利，惟四季未全正 — 盈利未穩定</t>
        </is>
      </c>
      <c r="Z213" s="13" t="inlineStr">
        <is>
          <t>B</t>
        </is>
      </c>
      <c r="AA213" s="7" t="inlineStr">
        <is>
          <t>2026-06-30 / 2026-11-03</t>
        </is>
      </c>
    </row>
    <row r="214" ht="46" customHeight="1">
      <c r="A214" s="5" t="n">
        <v>213</v>
      </c>
      <c r="B214" s="6" t="inlineStr">
        <is>
          <t>CNC</t>
        </is>
      </c>
      <c r="C214" s="7" t="inlineStr">
        <is>
          <t>Centene Corporation</t>
        </is>
      </c>
      <c r="D214" s="7" t="inlineStr">
        <is>
          <t>Health Care</t>
        </is>
      </c>
      <c r="E214" s="7" t="inlineStr">
        <is>
          <t>Healthcare Plans</t>
        </is>
      </c>
      <c r="F214" s="8" t="n">
        <v>33.11742480049374</v>
      </c>
      <c r="G214" s="5" t="inlineStr">
        <is>
          <t>USD</t>
        </is>
      </c>
      <c r="H214" s="7" t="inlineStr">
        <is>
          <t>2025-09-30 / 2025-12-31 / 2026-03-31 / 2026-06-30</t>
        </is>
      </c>
      <c r="I214" s="8" t="n">
        <v>49690</v>
      </c>
      <c r="J214" s="8" t="n">
        <v>49725</v>
      </c>
      <c r="K214" s="8" t="n">
        <v>49944</v>
      </c>
      <c r="L214" s="8" t="n">
        <v>53579</v>
      </c>
      <c r="M214" s="9" t="n">
        <v>9.923679783349071</v>
      </c>
      <c r="N214" s="8" t="n">
        <v>45434.96038</v>
      </c>
      <c r="O214" s="10" t="inlineStr">
        <is>
          <t>淨利 -$6.63B
經常 -$211.0M
一次: -$6.25B（營收 13%）</t>
        </is>
      </c>
      <c r="P214" s="10" t="inlineStr">
        <is>
          <t>淨利 -$1.10B
經常 -$1.23B
一次: 無重大</t>
        </is>
      </c>
      <c r="Q214" s="10" t="inlineStr">
        <is>
          <t>淨利 +$1.54B
經常 +$1.86B
一次: 無重大</t>
        </is>
      </c>
      <c r="R214" s="10" t="inlineStr">
        <is>
          <t>淨利 +$1.09B
經常 +$1.20B
一次: 無重大</t>
        </is>
      </c>
      <c r="S214" s="11" t="n">
        <v>-1.08992</v>
      </c>
      <c r="T214" s="9" t="n">
        <v>2.235950652307807</v>
      </c>
      <c r="U214" s="9" t="n">
        <v>2.03624554396312</v>
      </c>
      <c r="V214" s="9" t="n">
        <v>8.587319658821553</v>
      </c>
      <c r="W214" s="10" t="inlineStr">
        <is>
          <t>無重大</t>
        </is>
      </c>
      <c r="X214" s="10" t="inlineStr">
        <is>
          <t>由虧轉正：-211 → -1,232 → +1,861 → +1,198（百萬）</t>
        </is>
      </c>
      <c r="Y214" s="10" t="inlineStr">
        <is>
          <t>最新季已盈利，惟四季未全正 — 盈利未穩定</t>
        </is>
      </c>
      <c r="Z214" s="13" t="inlineStr">
        <is>
          <t>B</t>
        </is>
      </c>
      <c r="AA214" s="7" t="inlineStr">
        <is>
          <t>2026-06-30 / 2026-10-27</t>
        </is>
      </c>
    </row>
    <row r="215" ht="46" customHeight="1">
      <c r="A215" s="5" t="n">
        <v>214</v>
      </c>
      <c r="B215" s="6" t="inlineStr">
        <is>
          <t>MDB</t>
        </is>
      </c>
      <c r="C215" s="7" t="inlineStr">
        <is>
          <t>MongoDB, Inc.</t>
        </is>
      </c>
      <c r="D215" s="7" t="inlineStr">
        <is>
          <t>Technology</t>
        </is>
      </c>
      <c r="E215" s="7" t="inlineStr">
        <is>
          <t>Software - Infrastructure</t>
        </is>
      </c>
      <c r="F215" s="8" t="n">
        <v>29.70434518065425</v>
      </c>
      <c r="G215" s="5" t="inlineStr">
        <is>
          <t>USD</t>
        </is>
      </c>
      <c r="H215" s="7" t="inlineStr">
        <is>
          <t>2025-10-31 / 2026-01-31 / 2026-04-30 / 2026-07-31</t>
        </is>
      </c>
      <c r="I215" s="8" t="n">
        <v>628.309</v>
      </c>
      <c r="J215" s="8" t="n">
        <v>695.072</v>
      </c>
      <c r="K215" s="8" t="n">
        <v>687.616</v>
      </c>
      <c r="L215" s="8" t="n">
        <v>771.773</v>
      </c>
      <c r="M215" s="9" t="n">
        <v>30.49888231693501</v>
      </c>
      <c r="N215" s="8" t="n">
        <v>806.81651</v>
      </c>
      <c r="O215" s="10" t="inlineStr">
        <is>
          <t>淨利 -$2.0M
經常 -$18.4M
一次: 無重大</t>
        </is>
      </c>
      <c r="P215" s="10" t="inlineStr">
        <is>
          <t>淨利 +$15.5M
經常 +$0.3M
一次: 無重大</t>
        </is>
      </c>
      <c r="Q215" s="10" t="inlineStr">
        <is>
          <t>淨利 +$4.4M
經常 -$24.8M
一次: 無重大</t>
        </is>
      </c>
      <c r="R215" s="10" t="inlineStr">
        <is>
          <t>淨利 +$40.9M
經常 +$28.4M
一次: 無重大</t>
        </is>
      </c>
      <c r="S215" s="11" t="n">
        <v>1.71654</v>
      </c>
      <c r="T215" s="9" t="n">
        <v>3.679838501735613</v>
      </c>
      <c r="U215" s="9" t="n">
        <v>5.304668600741409</v>
      </c>
      <c r="V215" s="9" t="n">
        <v>73.82546422328845</v>
      </c>
      <c r="W215" s="10" t="inlineStr">
        <is>
          <t>無重大</t>
        </is>
      </c>
      <c r="X215" s="10" t="inlineStr">
        <is>
          <t>由虧轉正：-18 → +0 → -25 → +28（百萬）</t>
        </is>
      </c>
      <c r="Y215" s="10" t="inlineStr">
        <is>
          <t>最新季已盈利，惟四季未全正 — 盈利未穩定</t>
        </is>
      </c>
      <c r="Z215" s="13" t="inlineStr">
        <is>
          <t>B</t>
        </is>
      </c>
      <c r="AA215" s="7" t="inlineStr">
        <is>
          <t>2026-07-31 / 2026-12-01</t>
        </is>
      </c>
    </row>
    <row r="216" ht="46" customHeight="1">
      <c r="A216" s="5" t="n">
        <v>215</v>
      </c>
      <c r="B216" s="6" t="inlineStr">
        <is>
          <t>IOT</t>
        </is>
      </c>
      <c r="C216" s="7" t="inlineStr">
        <is>
          <t>Samsara Inc.</t>
        </is>
      </c>
      <c r="D216" s="7" t="inlineStr">
        <is>
          <t>Technology</t>
        </is>
      </c>
      <c r="E216" s="7" t="inlineStr">
        <is>
          <t>Software - Infrastructure</t>
        </is>
      </c>
      <c r="F216" s="8" t="n">
        <v>23.42494529630207</v>
      </c>
      <c r="G216" s="5" t="inlineStr">
        <is>
          <t>USD</t>
        </is>
      </c>
      <c r="H216" s="7" t="inlineStr">
        <is>
          <t>2025-07-31 / 2025-10-31 / 2026-01-31 / 2026-04-30</t>
        </is>
      </c>
      <c r="I216" s="8" t="n">
        <v>391.48</v>
      </c>
      <c r="J216" s="8" t="n">
        <v>415.975</v>
      </c>
      <c r="K216" s="8" t="n">
        <v>444.296</v>
      </c>
      <c r="L216" s="8" t="n">
        <v>478.844</v>
      </c>
      <c r="M216" s="9" t="n">
        <v>30.51645751790757</v>
      </c>
      <c r="N216" s="8" t="n">
        <v>543.06823</v>
      </c>
      <c r="O216" s="10" t="inlineStr">
        <is>
          <t>淨利 -$16.8M
經常 -$26.6M
一次: 無重大</t>
        </is>
      </c>
      <c r="P216" s="10" t="inlineStr">
        <is>
          <t>淨利 +$7.8M
經常 -$1.7M
一次: 無重大</t>
        </is>
      </c>
      <c r="Q216" s="10" t="inlineStr">
        <is>
          <t>淨利 +$22.0M
經常 +$9.0M
一次: 無重大</t>
        </is>
      </c>
      <c r="R216" s="10" t="inlineStr">
        <is>
          <t>淨利 +$44.5M
經常 +$7.2M
一次: 無重大</t>
        </is>
      </c>
      <c r="S216" s="11" t="n">
        <v>0.21496</v>
      </c>
      <c r="T216" s="9" t="n">
        <v>1.502577039703954</v>
      </c>
      <c r="U216" s="9" t="n">
        <v>9.294885181812866</v>
      </c>
      <c r="V216" s="9" t="n">
        <v>75.41976092422584</v>
      </c>
      <c r="W216" s="10" t="inlineStr">
        <is>
          <t>無重大</t>
        </is>
      </c>
      <c r="X216" s="10" t="inlineStr">
        <is>
          <t>由虧轉正：-27 → -2 → +9 → +7（百萬）</t>
        </is>
      </c>
      <c r="Y216" s="10" t="inlineStr">
        <is>
          <t>最新季已盈利，惟四季未全正 — 盈利未穩定</t>
        </is>
      </c>
      <c r="Z216" s="13" t="inlineStr">
        <is>
          <t>B</t>
        </is>
      </c>
      <c r="AA216" s="7" t="inlineStr">
        <is>
          <t>2026-04-30 / 2026-12-03</t>
        </is>
      </c>
    </row>
    <row r="217" ht="46" customHeight="1">
      <c r="A217" s="5" t="n">
        <v>216</v>
      </c>
      <c r="B217" s="6" t="inlineStr">
        <is>
          <t>DD</t>
        </is>
      </c>
      <c r="C217" s="7" t="inlineStr">
        <is>
          <t>DuPont de Nemours, Inc.</t>
        </is>
      </c>
      <c r="D217" s="7" t="inlineStr">
        <is>
          <t>Industrials</t>
        </is>
      </c>
      <c r="E217" s="7" t="inlineStr">
        <is>
          <t>Specialty Chemicals</t>
        </is>
      </c>
      <c r="F217" s="8" t="n">
        <v>17.77030508050241</v>
      </c>
      <c r="G217" s="5" t="inlineStr">
        <is>
          <t>USD</t>
        </is>
      </c>
      <c r="H217" s="7" t="inlineStr">
        <is>
          <t>2025-06-30 / 2025-09-30 / 2025-12-31 / 2026-03-31</t>
        </is>
      </c>
      <c r="I217" s="8" t="n">
        <v>1749</v>
      </c>
      <c r="J217" s="8" t="n">
        <v>3072</v>
      </c>
      <c r="K217" s="8" t="n">
        <v>-1871</v>
      </c>
      <c r="L217" s="8" t="n">
        <v>1681</v>
      </c>
      <c r="M217" s="9" t="n">
        <v>4.280397022332516</v>
      </c>
      <c r="N217" s="8" t="n">
        <v>1813.65737</v>
      </c>
      <c r="O217" s="10" t="inlineStr">
        <is>
          <t>淨利 +$59.0M
經常 +$217.0M
一次: -$66.4M（營收 4%）</t>
        </is>
      </c>
      <c r="P217" s="10" t="inlineStr">
        <is>
          <t>淨利 -$123.0M
經常 +$547.0M
一次: -$159.2M（營收 5%）</t>
        </is>
      </c>
      <c r="Q217" s="10" t="inlineStr">
        <is>
          <t>淨利 -$126.0M
經常 -$652.0M
一次: -$32.5M（營收 -2%）</t>
        </is>
      </c>
      <c r="R217" s="10" t="inlineStr">
        <is>
          <t>淨利 +$161.0M
經常 +$232.0M
一次: -$24.9M（營收 1%）</t>
        </is>
      </c>
      <c r="S217" s="11" t="n">
        <v>1.9244</v>
      </c>
      <c r="T217" s="9" t="n">
        <v>13.80130874479477</v>
      </c>
      <c r="U217" s="9" t="n">
        <v>9.577632361689471</v>
      </c>
      <c r="V217" s="9" t="n">
        <v>35.81201665675194</v>
      </c>
      <c r="W217" s="10" t="inlineStr">
        <is>
          <t>-$24.9M・營收 1.5%</t>
        </is>
      </c>
      <c r="X217" s="10" t="inlineStr">
        <is>
          <t>反覆：+217 → +547 → -652 → +232（百萬）</t>
        </is>
      </c>
      <c r="Y217" s="10" t="inlineStr">
        <is>
          <t>最新季已盈利，惟四季未全正 — 盈利未穩定</t>
        </is>
      </c>
      <c r="Z217" s="13" t="inlineStr">
        <is>
          <t>B</t>
        </is>
      </c>
      <c r="AA217" s="7" t="inlineStr">
        <is>
          <t>2026-03-31 / 2026-11-05</t>
        </is>
      </c>
    </row>
    <row r="218" ht="46" customHeight="1">
      <c r="A218" s="5" t="n">
        <v>217</v>
      </c>
      <c r="B218" s="6" t="inlineStr">
        <is>
          <t>TLN</t>
        </is>
      </c>
      <c r="C218" s="7" t="inlineStr">
        <is>
          <t>Talen Energy Corporation</t>
        </is>
      </c>
      <c r="D218" s="7" t="inlineStr">
        <is>
          <t>Utilities</t>
        </is>
      </c>
      <c r="E218" s="7" t="inlineStr">
        <is>
          <t>Utilities - Independent Power Producers</t>
        </is>
      </c>
      <c r="F218" s="8" t="n">
        <v>15.18882010299492</v>
      </c>
      <c r="G218" s="5" t="inlineStr">
        <is>
          <t>USD</t>
        </is>
      </c>
      <c r="H218" s="7" t="inlineStr">
        <is>
          <t>2025-09-30 / 2025-12-31 / 2026-03-31 / 2026-06-30</t>
        </is>
      </c>
      <c r="I218" s="8" t="n">
        <v>770</v>
      </c>
      <c r="J218" s="8" t="n">
        <v>771</v>
      </c>
      <c r="K218" s="8" t="n">
        <v>1241</v>
      </c>
      <c r="L218" s="8" t="n">
        <v>959</v>
      </c>
      <c r="M218" s="9" t="n">
        <v>111.2334801762115</v>
      </c>
      <c r="N218" s="8" t="n">
        <v>1215.87297</v>
      </c>
      <c r="O218" s="10" t="inlineStr">
        <is>
          <t>淨利 +$207.0M
經常 +$227.0M
一次: +$41.5M（營收 5%）</t>
        </is>
      </c>
      <c r="P218" s="10" t="inlineStr">
        <is>
          <t>淨利 -$363.0M
經常 -$261.0M
一次: -$51.6M（營收 7%）</t>
        </is>
      </c>
      <c r="Q218" s="10" t="inlineStr">
        <is>
          <t>淨利 +$63.0M
經常 +$364.0M
一次: -$119.8M（營收 10%）</t>
        </is>
      </c>
      <c r="R218" s="10" t="inlineStr">
        <is>
          <t>淨利 -$92.0M
經常 +$139.0M
一次: -$150.4M（營收 16%）</t>
        </is>
      </c>
      <c r="S218" s="11" t="n">
        <v>5.84288</v>
      </c>
      <c r="T218" s="9" t="n">
        <v>14.49426485922836</v>
      </c>
      <c r="U218" s="9" t="n">
        <v>-9.593326381647548</v>
      </c>
      <c r="V218" s="9" t="n">
        <v>38.58185610010428</v>
      </c>
      <c r="W218" s="10" t="inlineStr">
        <is>
          <t>-$150.4M・營收 15.7%</t>
        </is>
      </c>
      <c r="X218" s="10" t="inlineStr">
        <is>
          <t>反覆：+227 → -261 → +364 → +139（百萬）</t>
        </is>
      </c>
      <c r="Y218" s="10" t="inlineStr">
        <is>
          <t>最新季營運為正但淨利為負（利息／一次性／稅拖累）</t>
        </is>
      </c>
      <c r="Z218" s="13" t="inlineStr">
        <is>
          <t>B</t>
        </is>
      </c>
      <c r="AA218" s="7" t="inlineStr">
        <is>
          <t>2026-06-30 / 2026-11-04</t>
        </is>
      </c>
    </row>
    <row r="219" ht="46" customHeight="1">
      <c r="A219" s="5" t="n">
        <v>218</v>
      </c>
      <c r="B219" s="6" t="inlineStr">
        <is>
          <t>UHAL</t>
        </is>
      </c>
      <c r="C219" s="7" t="inlineStr">
        <is>
          <t>U-Haul Holding Company</t>
        </is>
      </c>
      <c r="D219" s="7" t="inlineStr">
        <is>
          <t>Consumer Discretionary</t>
        </is>
      </c>
      <c r="E219" s="7" t="inlineStr">
        <is>
          <t>Rental &amp; Leasing Services</t>
        </is>
      </c>
      <c r="F219" s="8" t="n">
        <v>13.0612989290994</v>
      </c>
      <c r="G219" s="5" t="inlineStr">
        <is>
          <t>USD</t>
        </is>
      </c>
      <c r="H219" s="7" t="inlineStr">
        <is>
          <t>2025-09-30 / 2025-12-31 / 2026-03-31 / 2026-06-30</t>
        </is>
      </c>
      <c r="I219" s="8" t="n">
        <v>1719.922</v>
      </c>
      <c r="J219" s="8" t="n">
        <v>1415.608</v>
      </c>
      <c r="K219" s="8" t="n">
        <v>1271.819</v>
      </c>
      <c r="L219" s="8" t="n">
        <v>1682.027</v>
      </c>
      <c r="M219" s="9" t="n">
        <v>3.162094365428381</v>
      </c>
      <c r="N219" s="8" t="n">
        <v>1485.6085</v>
      </c>
      <c r="O219" s="10" t="inlineStr">
        <is>
          <t>淨利 +$96.7M
經常 +$265.6M
一次: -$37.0M（營收 2%）</t>
        </is>
      </c>
      <c r="P219" s="10" t="inlineStr">
        <is>
          <t>淨利 -$45.8M
經常 +$67.6M
一次: -$24.4M（營收 2%）</t>
        </is>
      </c>
      <c r="Q219" s="10" t="inlineStr">
        <is>
          <t>淨利 -$136.6M
經常 -$154.9M
一次: +$63.0M（營收 5%）</t>
        </is>
      </c>
      <c r="R219" s="10" t="inlineStr">
        <is>
          <t>淨利 +$114.1M
經常 +$256.7M
一次: 無重大</t>
        </is>
      </c>
      <c r="S219" s="11" t="n">
        <v>0.12</v>
      </c>
      <c r="T219" s="9" t="n">
        <v>15.26384534849916</v>
      </c>
      <c r="U219" s="9" t="n">
        <v>6.784433305767386</v>
      </c>
      <c r="V219" s="9" t="n">
        <v>86.0785231152651</v>
      </c>
      <c r="W219" s="10" t="inlineStr">
        <is>
          <t>無重大</t>
        </is>
      </c>
      <c r="X219" s="10" t="inlineStr">
        <is>
          <t>反覆：+266 → +68 → -155 → +257（百萬）</t>
        </is>
      </c>
      <c r="Y219" s="10" t="inlineStr">
        <is>
          <t>最新季已盈利，惟四季未全正 — 盈利未穩定</t>
        </is>
      </c>
      <c r="Z219" s="13" t="inlineStr">
        <is>
          <t>B</t>
        </is>
      </c>
      <c r="AA219" s="7" t="inlineStr">
        <is>
          <t>2026-06-30 / 2026-11-04</t>
        </is>
      </c>
    </row>
    <row r="220" ht="46" customHeight="1">
      <c r="A220" s="5" t="n">
        <v>219</v>
      </c>
      <c r="B220" s="6" t="inlineStr">
        <is>
          <t>CORT</t>
        </is>
      </c>
      <c r="C220" s="7" t="inlineStr">
        <is>
          <t>Corcept Therapeutics Incorporated</t>
        </is>
      </c>
      <c r="D220" s="7" t="inlineStr">
        <is>
          <t>Health Care</t>
        </is>
      </c>
      <c r="E220" s="7" t="inlineStr">
        <is>
          <t>Biotechnology</t>
        </is>
      </c>
      <c r="F220" s="8" t="n">
        <v>12.06594307301819</v>
      </c>
      <c r="G220" s="5" t="inlineStr">
        <is>
          <t>USD</t>
        </is>
      </c>
      <c r="H220" s="7" t="inlineStr">
        <is>
          <t>2025-09-30 / 2025-12-31 / 2026-03-31 / 2026-06-30</t>
        </is>
      </c>
      <c r="I220" s="8" t="n">
        <v>207.638</v>
      </c>
      <c r="J220" s="8" t="n">
        <v>202.125</v>
      </c>
      <c r="K220" s="8" t="n">
        <v>164.903</v>
      </c>
      <c r="L220" s="8" t="n">
        <v>256.147</v>
      </c>
      <c r="M220" s="9" t="n">
        <v>31.74252944504448</v>
      </c>
      <c r="N220" s="8" t="n">
        <v>388.7485</v>
      </c>
      <c r="O220" s="10" t="inlineStr">
        <is>
          <t>淨利 +$19.4M
經常 +$10.2M
一次: 無重大</t>
        </is>
      </c>
      <c r="P220" s="10" t="inlineStr">
        <is>
          <t>淨利 +$23.9M
經常 +$4.5M
一次: 無重大</t>
        </is>
      </c>
      <c r="Q220" s="10" t="inlineStr">
        <is>
          <t>淨利 -$31.2M
經常 -$49.6M
一次: 無重大</t>
        </is>
      </c>
      <c r="R220" s="10" t="inlineStr">
        <is>
          <t>淨利 +$42.1M
經常 +$41.3M
一次: 無重大</t>
        </is>
      </c>
      <c r="S220" s="11" t="n">
        <v>1.205</v>
      </c>
      <c r="T220" s="9" t="n">
        <v>16.12355405294616</v>
      </c>
      <c r="U220" s="9" t="n">
        <v>16.45188114637298</v>
      </c>
      <c r="V220" s="9" t="n">
        <v>98.41458225159772</v>
      </c>
      <c r="W220" s="10" t="inlineStr">
        <is>
          <t>無重大</t>
        </is>
      </c>
      <c r="X220" s="10" t="inlineStr">
        <is>
          <t>反覆：+10 → +4 → -50 → +41（百萬）</t>
        </is>
      </c>
      <c r="Y220" s="10" t="inlineStr">
        <is>
          <t>最新季已盈利，惟四季未全正 — 盈利未穩定</t>
        </is>
      </c>
      <c r="Z220" s="13" t="inlineStr">
        <is>
          <t>B</t>
        </is>
      </c>
      <c r="AA220" s="7" t="inlineStr">
        <is>
          <t>2026-06-30 / 2026-11-04</t>
        </is>
      </c>
    </row>
    <row r="221" ht="46" customHeight="1">
      <c r="A221" s="5" t="n">
        <v>220</v>
      </c>
      <c r="B221" s="6" t="inlineStr">
        <is>
          <t>TEM</t>
        </is>
      </c>
      <c r="C221" s="7" t="inlineStr">
        <is>
          <t>Tempus AI, Inc.</t>
        </is>
      </c>
      <c r="D221" s="7" t="inlineStr">
        <is>
          <t>Technology</t>
        </is>
      </c>
      <c r="E221" s="7" t="inlineStr">
        <is>
          <t>Health Information Services</t>
        </is>
      </c>
      <c r="F221" s="8" t="n">
        <v>11.73215873625082</v>
      </c>
      <c r="G221" s="5" t="inlineStr">
        <is>
          <t>USD</t>
        </is>
      </c>
      <c r="H221" s="7" t="inlineStr">
        <is>
          <t>2025-09-30 / 2025-12-31 / 2026-03-31 / 2026-06-30</t>
        </is>
      </c>
      <c r="I221" s="8" t="n">
        <v>334.206</v>
      </c>
      <c r="J221" s="8" t="n">
        <v>367.211</v>
      </c>
      <c r="K221" s="8" t="n">
        <v>348.116</v>
      </c>
      <c r="L221" s="8" t="n">
        <v>382.486</v>
      </c>
      <c r="M221" s="9" t="n">
        <v>21.56498800197053</v>
      </c>
      <c r="N221" s="8" t="n">
        <v>455.867</v>
      </c>
      <c r="O221" s="10" t="inlineStr">
        <is>
          <t>淨利 -$80.0M
經常 -$61.0M
一次: -$9.5M（營收 3%）</t>
        </is>
      </c>
      <c r="P221" s="10" t="inlineStr">
        <is>
          <t>淨利 -$54.2M
經常 -$61.4M
一次: 無重大</t>
        </is>
      </c>
      <c r="Q221" s="10" t="inlineStr">
        <is>
          <t>淨利 -$125.9M
經常 -$84.7M
一次: 無重大</t>
        </is>
      </c>
      <c r="R221" s="10" t="inlineStr">
        <is>
          <t>淨利 +$5.6M
經常 -$75.9M
一次: -$11.2M（營收 3%）</t>
        </is>
      </c>
      <c r="S221" s="11" t="n">
        <v>-0.00157</v>
      </c>
      <c r="T221" s="9" t="n">
        <v>-19.84726238345979</v>
      </c>
      <c r="U221" s="9" t="n">
        <v>1.475086669838896</v>
      </c>
      <c r="V221" s="9" t="n">
        <v>64.44628038673311</v>
      </c>
      <c r="W221" s="10" t="inlineStr">
        <is>
          <t>-$11.2M・營收 2.9%</t>
        </is>
      </c>
      <c r="X221" s="10" t="inlineStr">
        <is>
          <t>四季皆虧（擴大）：-61 → -61 → -85 → -76（百萬）</t>
        </is>
      </c>
      <c r="Y221" s="10" t="inlineStr">
        <is>
          <t>最新季淨利為正但營運仍虧 — 靠營運外項目</t>
        </is>
      </c>
      <c r="Z221" s="13" t="inlineStr">
        <is>
          <t>B</t>
        </is>
      </c>
      <c r="AA221" s="7" t="inlineStr">
        <is>
          <t>2026-06-30 / 2026-11-03</t>
        </is>
      </c>
    </row>
    <row r="222" ht="46" customHeight="1">
      <c r="A222" s="5" t="n">
        <v>221</v>
      </c>
      <c r="B222" s="6" t="inlineStr">
        <is>
          <t>VSAT</t>
        </is>
      </c>
      <c r="C222" s="7" t="inlineStr">
        <is>
          <t>Viasat, Inc.</t>
        </is>
      </c>
      <c r="D222" s="7" t="inlineStr">
        <is>
          <t>Consumer Discretionary</t>
        </is>
      </c>
      <c r="E222" s="7" t="inlineStr">
        <is>
          <t>Communication Equipment</t>
        </is>
      </c>
      <c r="F222" s="8" t="n">
        <v>10.37576760904653</v>
      </c>
      <c r="G222" s="5" t="inlineStr">
        <is>
          <t>USD</t>
        </is>
      </c>
      <c r="H222" s="7" t="inlineStr">
        <is>
          <t>2025-09-30 / 2025-12-31 / 2026-03-31 / 2026-06-30</t>
        </is>
      </c>
      <c r="I222" s="8" t="n">
        <v>1140.893</v>
      </c>
      <c r="J222" s="8" t="n">
        <v>1157.045</v>
      </c>
      <c r="K222" s="8" t="n">
        <v>1171.288</v>
      </c>
      <c r="L222" s="8" t="n">
        <v>1156.543</v>
      </c>
      <c r="M222" s="9" t="n">
        <v>-1.239140125049754</v>
      </c>
      <c r="N222" s="8" t="n">
        <v>1232.50644</v>
      </c>
      <c r="O222" s="10" t="inlineStr">
        <is>
          <t>淨利 -$61.4M
經常 +$35.8M
一次: 無重大</t>
        </is>
      </c>
      <c r="P222" s="10" t="inlineStr">
        <is>
          <t>淨利 +$25.0M
經常 +$26.3M
一次: 無重大</t>
        </is>
      </c>
      <c r="Q222" s="10" t="inlineStr">
        <is>
          <t>淨利 +$58.8M
經常 -$0.6M
一次: 無重大</t>
        </is>
      </c>
      <c r="R222" s="10" t="inlineStr">
        <is>
          <t>淨利 -$51.7M
經常 +$47.3M
一次: 無重大</t>
        </is>
      </c>
      <c r="S222" s="11" t="n">
        <v>0.01667</v>
      </c>
      <c r="T222" s="9" t="n">
        <v>4.090466156468026</v>
      </c>
      <c r="U222" s="9" t="n">
        <v>-4.473763621413126</v>
      </c>
      <c r="V222" s="9" t="n">
        <v>35.69612197730651</v>
      </c>
      <c r="W222" s="10" t="inlineStr">
        <is>
          <t>無重大</t>
        </is>
      </c>
      <c r="X222" s="10" t="inlineStr">
        <is>
          <t>反覆：+36 → +26 → -1 → +47（百萬）</t>
        </is>
      </c>
      <c r="Y222" s="10" t="inlineStr">
        <is>
          <t>最新季營運為正但淨利為負（利息／一次性／稅拖累）</t>
        </is>
      </c>
      <c r="Z222" s="13" t="inlineStr">
        <is>
          <t>B</t>
        </is>
      </c>
      <c r="AA222" s="7" t="inlineStr">
        <is>
          <t>2026-06-30 / 2026-11-05</t>
        </is>
      </c>
    </row>
    <row r="223" ht="46" customHeight="1">
      <c r="A223" s="5" t="n">
        <v>222</v>
      </c>
      <c r="B223" s="6" t="inlineStr">
        <is>
          <t>MSGS</t>
        </is>
      </c>
      <c r="C223" s="7" t="inlineStr">
        <is>
          <t>Madison Square Garden Sports Corp.</t>
        </is>
      </c>
      <c r="D223" s="7" t="inlineStr">
        <is>
          <t>Consumer Discretionary</t>
        </is>
      </c>
      <c r="E223" s="7" t="inlineStr">
        <is>
          <t>Entertainment</t>
        </is>
      </c>
      <c r="F223" s="8" t="n">
        <v>9.419109721956271</v>
      </c>
      <c r="G223" s="5" t="inlineStr">
        <is>
          <t>USD</t>
        </is>
      </c>
      <c r="H223" s="7" t="inlineStr">
        <is>
          <t>2025-09-30 / 2025-12-31 / 2026-03-31 / 2026-06-30</t>
        </is>
      </c>
      <c r="I223" s="8" t="n">
        <v>39.454</v>
      </c>
      <c r="J223" s="8" t="n">
        <v>403.424</v>
      </c>
      <c r="K223" s="8" t="n">
        <v>432.199</v>
      </c>
      <c r="L223" s="8" t="n">
        <v>278.745</v>
      </c>
      <c r="M223" s="9" t="n">
        <v>36.66851346117075</v>
      </c>
      <c r="N223" s="8" t="n">
        <v>430.16722</v>
      </c>
      <c r="O223" s="10" t="inlineStr">
        <is>
          <t>淨利 -$8.8M
經常 -$27.4M
一次: 無重大</t>
        </is>
      </c>
      <c r="P223" s="10" t="inlineStr">
        <is>
          <t>淨利 +$8.2M
經常 +$22.2M
一次: 無重大</t>
        </is>
      </c>
      <c r="Q223" s="10" t="inlineStr">
        <is>
          <t>淨利 -$20.0M
經常 +$3.2M
一次: 無重大</t>
        </is>
      </c>
      <c r="R223" s="10" t="inlineStr">
        <is>
          <t>淨利 +$28.3M
經常 +$33.0M
一次: 無重大</t>
        </is>
      </c>
      <c r="S223" s="11" t="n">
        <v>0.33315</v>
      </c>
      <c r="T223" s="9" t="n">
        <v>11.8330373638989</v>
      </c>
      <c r="U223" s="9" t="n">
        <v>10.15157222551077</v>
      </c>
      <c r="V223" s="9" t="n">
        <v>42.76812140128074</v>
      </c>
      <c r="W223" s="10" t="inlineStr">
        <is>
          <t>無重大</t>
        </is>
      </c>
      <c r="X223" s="10" t="inlineStr">
        <is>
          <t>由虧轉正：-27 → +22 → +3 → +33（百萬）</t>
        </is>
      </c>
      <c r="Y223" s="10" t="inlineStr">
        <is>
          <t>最新季已盈利，惟四季未全正 — 盈利未穩定</t>
        </is>
      </c>
      <c r="Z223" s="13" t="inlineStr">
        <is>
          <t>B</t>
        </is>
      </c>
      <c r="AA223" s="7" t="inlineStr">
        <is>
          <t>2026-06-30 / 2026-10-30</t>
        </is>
      </c>
    </row>
    <row r="224" ht="46" customHeight="1">
      <c r="A224" s="5" t="n">
        <v>223</v>
      </c>
      <c r="B224" s="6" t="inlineStr">
        <is>
          <t>KMX</t>
        </is>
      </c>
      <c r="C224" s="7" t="inlineStr">
        <is>
          <t>CarMax, Inc.</t>
        </is>
      </c>
      <c r="D224" s="7" t="inlineStr">
        <is>
          <t>Consumer Discretionary</t>
        </is>
      </c>
      <c r="E224" s="7" t="inlineStr">
        <is>
          <t>Auto &amp; Truck Dealerships</t>
        </is>
      </c>
      <c r="F224" s="8" t="n">
        <v>8.981553266204028</v>
      </c>
      <c r="G224" s="5" t="inlineStr">
        <is>
          <t>USD</t>
        </is>
      </c>
      <c r="H224" s="7" t="inlineStr">
        <is>
          <t>2025-08-31 / 2025-11-30 / 2026-02-28 / 2026-05-31</t>
        </is>
      </c>
      <c r="I224" s="8" t="n">
        <v>6594.684</v>
      </c>
      <c r="J224" s="8" t="n">
        <v>5793.946</v>
      </c>
      <c r="K224" s="8" t="n">
        <v>5945.96</v>
      </c>
      <c r="L224" s="8" t="n">
        <v>8013.519</v>
      </c>
      <c r="M224" s="9" t="n">
        <v>6.187974066529289</v>
      </c>
      <c r="N224" s="8" t="n">
        <v>6090.58507</v>
      </c>
      <c r="O224" s="10" t="inlineStr">
        <is>
          <t>淨利 +$95.4M
經常 -$117.8M
一次: 無重大</t>
        </is>
      </c>
      <c r="P224" s="10" t="inlineStr">
        <is>
          <t>淨利 +$62.2M
經常 -$133.7M
一次: 無重大</t>
        </is>
      </c>
      <c r="Q224" s="10" t="inlineStr">
        <is>
          <t>淨利 -$120.7M
經常 -$249.7M
一次: 無重大</t>
        </is>
      </c>
      <c r="R224" s="10" t="inlineStr">
        <is>
          <t>淨利 +$185.6M
經常 +$31.7M
一次: 無重大</t>
        </is>
      </c>
      <c r="S224" s="11" t="n">
        <v>0.45115</v>
      </c>
      <c r="T224" s="9" t="n">
        <v>0.395593995596691</v>
      </c>
      <c r="U224" s="9" t="n">
        <v>2.316423034624364</v>
      </c>
      <c r="V224" s="9" t="n">
        <v>10.66215728695471</v>
      </c>
      <c r="W224" s="10" t="inlineStr">
        <is>
          <t>無重大</t>
        </is>
      </c>
      <c r="X224" s="10" t="inlineStr">
        <is>
          <t>由虧轉正：-118 → -134 → -250 → +32（百萬）</t>
        </is>
      </c>
      <c r="Y224" s="10" t="inlineStr">
        <is>
          <t>最新季已盈利，惟四季未全正 — 盈利未穩定</t>
        </is>
      </c>
      <c r="Z224" s="13" t="inlineStr">
        <is>
          <t>B</t>
        </is>
      </c>
      <c r="AA224" s="7" t="inlineStr">
        <is>
          <t>2026-05-31 / 2026-09-29</t>
        </is>
      </c>
    </row>
    <row r="225" ht="46" customHeight="1">
      <c r="A225" s="5" t="n">
        <v>224</v>
      </c>
      <c r="B225" s="6" t="inlineStr">
        <is>
          <t>BRKR</t>
        </is>
      </c>
      <c r="C225" s="7" t="inlineStr">
        <is>
          <t>Bruker Corporation</t>
        </is>
      </c>
      <c r="D225" s="7" t="inlineStr">
        <is>
          <t>Industrials</t>
        </is>
      </c>
      <c r="E225" s="7" t="inlineStr">
        <is>
          <t>Medical Devices</t>
        </is>
      </c>
      <c r="F225" s="8" t="n">
        <v>8.913019985801528</v>
      </c>
      <c r="G225" s="5" t="inlineStr">
        <is>
          <t>USD</t>
        </is>
      </c>
      <c r="H225" s="7" t="inlineStr">
        <is>
          <t>2025-09-30 / 2025-12-31 / 2026-03-31 / 2026-06-30</t>
        </is>
      </c>
      <c r="I225" s="8" t="n">
        <v>860.5</v>
      </c>
      <c r="J225" s="8" t="n">
        <v>977.2</v>
      </c>
      <c r="K225" s="8" t="n">
        <v>823.4</v>
      </c>
      <c r="L225" s="8" t="n">
        <v>838.5</v>
      </c>
      <c r="M225" s="9" t="n">
        <v>5.154251316779535</v>
      </c>
      <c r="N225" s="8" t="n">
        <v>1026.03695</v>
      </c>
      <c r="O225" s="10" t="inlineStr">
        <is>
          <t>淨利 -$62.4M
經常 +$35.0M
一次: -$74.2M（營收 9%）</t>
        </is>
      </c>
      <c r="P225" s="10" t="inlineStr">
        <is>
          <t>淨利 +$14.9M
經常 +$111.8M
一次: -$17.1M（營收 2%）</t>
        </is>
      </c>
      <c r="Q225" s="10" t="inlineStr">
        <is>
          <t>淨利 +$3.5M
經常 +$36.4M
一次: -$8.2M（營收 1%）</t>
        </is>
      </c>
      <c r="R225" s="10" t="inlineStr">
        <is>
          <t>淨利 -$62.9M
經常 +$82.8M
一次: -$88.5M（營收 11%）</t>
        </is>
      </c>
      <c r="S225" s="11" t="n">
        <v>0.90111</v>
      </c>
      <c r="T225" s="9" t="n">
        <v>9.874776386404294</v>
      </c>
      <c r="U225" s="9" t="n">
        <v>-7.50149075730471</v>
      </c>
      <c r="V225" s="9" t="n">
        <v>49.6124031007752</v>
      </c>
      <c r="W225" s="10" t="inlineStr">
        <is>
          <t>-$88.5M・營收 10.6%</t>
        </is>
      </c>
      <c r="X225" s="10" t="inlineStr">
        <is>
          <t>四季皆正：+35 → +112 → +36 → +83（百萬）</t>
        </is>
      </c>
      <c r="Y225" s="10" t="inlineStr">
        <is>
          <t>最新季營運為正但淨利為負（利息／一次性／稅拖累）</t>
        </is>
      </c>
      <c r="Z225" s="13" t="inlineStr">
        <is>
          <t>B</t>
        </is>
      </c>
      <c r="AA225" s="7" t="inlineStr">
        <is>
          <t>2026-06-30 / 2026-11-03</t>
        </is>
      </c>
    </row>
    <row r="226" ht="46" customHeight="1">
      <c r="A226" s="5" t="n">
        <v>225</v>
      </c>
      <c r="B226" s="6" t="inlineStr">
        <is>
          <t>PBF</t>
        </is>
      </c>
      <c r="C226" s="7" t="inlineStr">
        <is>
          <t>PBF Energy Inc.</t>
        </is>
      </c>
      <c r="D226" s="7" t="inlineStr">
        <is>
          <t>Energy</t>
        </is>
      </c>
      <c r="E226" s="7" t="inlineStr">
        <is>
          <t>Oil &amp; Gas Refining &amp; Marketing</t>
        </is>
      </c>
      <c r="F226" s="8" t="n">
        <v>8.812028537052631</v>
      </c>
      <c r="G226" s="5" t="inlineStr">
        <is>
          <t>USD</t>
        </is>
      </c>
      <c r="H226" s="7" t="inlineStr">
        <is>
          <t>2025-09-30 / 2025-12-31 / 2026-03-31 / 2026-06-30</t>
        </is>
      </c>
      <c r="I226" s="8" t="n">
        <v>7651.1</v>
      </c>
      <c r="J226" s="8" t="n">
        <v>7139.5</v>
      </c>
      <c r="K226" s="8" t="n">
        <v>7904.3</v>
      </c>
      <c r="L226" s="8" t="n">
        <v>11678.3</v>
      </c>
      <c r="M226" s="9" t="n">
        <v>56.2251682206734</v>
      </c>
      <c r="N226" s="8" t="n">
        <v>8842.99202</v>
      </c>
      <c r="O226" s="10" t="inlineStr">
        <is>
          <t>淨利 +$170.1M
經常 -$38.4M
一次: +$249.7M（營收 3%）</t>
        </is>
      </c>
      <c r="P226" s="10" t="inlineStr">
        <is>
          <t>淨利 +$78.4M
經常 -$243.2M
一次: +$297.8M（營收 4%）</t>
        </is>
      </c>
      <c r="Q226" s="10" t="inlineStr">
        <is>
          <t>淨利 +$198.3M
經常 +$185.1M
一次: +$82.1M（營收 1%）</t>
        </is>
      </c>
      <c r="R226" s="10" t="inlineStr">
        <is>
          <t>淨利 +$906.4M
經常 +$994.6M
一次: +$184.4M（營收 2%）</t>
        </is>
      </c>
      <c r="S226" s="11" t="n">
        <v>3.92</v>
      </c>
      <c r="T226" s="9" t="n">
        <v>8.516650539890225</v>
      </c>
      <c r="U226" s="9" t="n">
        <v>7.761403628952844</v>
      </c>
      <c r="V226" s="9" t="n">
        <v>9.819922420215271</v>
      </c>
      <c r="W226" s="10" t="inlineStr">
        <is>
          <t>+$184.4M・營收 1.6%</t>
        </is>
      </c>
      <c r="X226" s="10" t="inlineStr">
        <is>
          <t>由虧轉正：-38 → -243 → +185 → +995（百萬）</t>
        </is>
      </c>
      <c r="Y226" s="10" t="inlineStr">
        <is>
          <t>最新季已盈利，惟四季未全正 — 盈利未穩定</t>
        </is>
      </c>
      <c r="Z226" s="13" t="inlineStr">
        <is>
          <t>B</t>
        </is>
      </c>
      <c r="AA226" s="7" t="inlineStr">
        <is>
          <t>2026-06-30 / 2026-10-29</t>
        </is>
      </c>
    </row>
    <row r="227" ht="46" customHeight="1">
      <c r="A227" s="5" t="n">
        <v>226</v>
      </c>
      <c r="B227" s="6" t="inlineStr">
        <is>
          <t>FLR</t>
        </is>
      </c>
      <c r="C227" s="7" t="inlineStr">
        <is>
          <t>Fluor Corporation</t>
        </is>
      </c>
      <c r="D227" s="7" t="inlineStr">
        <is>
          <t>Industrials</t>
        </is>
      </c>
      <c r="E227" s="7" t="inlineStr">
        <is>
          <t>Engineering &amp; Construction</t>
        </is>
      </c>
      <c r="F227" s="8" t="n">
        <v>7.510898322856546</v>
      </c>
      <c r="G227" s="5" t="inlineStr">
        <is>
          <t>USD</t>
        </is>
      </c>
      <c r="H227" s="7" t="inlineStr">
        <is>
          <t>2025-09-30 / 2025-12-31 / 2026-03-31 / 2026-06-30</t>
        </is>
      </c>
      <c r="I227" s="8" t="n">
        <v>3368</v>
      </c>
      <c r="J227" s="8" t="n">
        <v>4176</v>
      </c>
      <c r="K227" s="8" t="n">
        <v>3663</v>
      </c>
      <c r="L227" s="8" t="n">
        <v>4329</v>
      </c>
      <c r="M227" s="9" t="n">
        <v>8.823529411764696</v>
      </c>
      <c r="N227" s="8" t="n">
        <v>4423.46752</v>
      </c>
      <c r="O227" s="10" t="inlineStr">
        <is>
          <t>淨利 -$697.0M
經常 -$478.0M
一次: 無重大</t>
        </is>
      </c>
      <c r="P227" s="10" t="inlineStr">
        <is>
          <t>淨利 -$1.57B
經常 +$84.0M
一次: 無重大</t>
        </is>
      </c>
      <c r="Q227" s="10" t="inlineStr">
        <is>
          <t>淨利 +$160.0M
經常 -$44.0M
一次: +$81.6M（營收 2%）</t>
        </is>
      </c>
      <c r="R227" s="10" t="inlineStr">
        <is>
          <t>淨利 +$114.0M
經常 +$141.0M
一次: 無重大</t>
        </is>
      </c>
      <c r="S227" s="11" t="n">
        <v>0.85845</v>
      </c>
      <c r="T227" s="9" t="n">
        <v>3.257103257103257</v>
      </c>
      <c r="U227" s="9" t="n">
        <v>2.633402633402633</v>
      </c>
      <c r="V227" s="9" t="n">
        <v>4.134904134904135</v>
      </c>
      <c r="W227" s="10" t="inlineStr">
        <is>
          <t>無重大</t>
        </is>
      </c>
      <c r="X227" s="10" t="inlineStr">
        <is>
          <t>由虧轉正：-478 → +84 → -44 → +141（百萬）</t>
        </is>
      </c>
      <c r="Y227" s="10" t="inlineStr">
        <is>
          <t>最新季已盈利，惟四季未全正 — 盈利未穩定</t>
        </is>
      </c>
      <c r="Z227" s="13" t="inlineStr">
        <is>
          <t>B</t>
        </is>
      </c>
      <c r="AA227" s="7" t="inlineStr">
        <is>
          <t>2026-06-30 / 2026-11-06</t>
        </is>
      </c>
    </row>
    <row r="228" ht="46" customHeight="1">
      <c r="A228" s="5" t="n">
        <v>227</v>
      </c>
      <c r="B228" s="6" t="inlineStr">
        <is>
          <t>AXTI</t>
        </is>
      </c>
      <c r="C228" s="7" t="inlineStr">
        <is>
          <t>AXT, Inc.</t>
        </is>
      </c>
      <c r="D228" s="7" t="inlineStr">
        <is>
          <t>Technology</t>
        </is>
      </c>
      <c r="E228" s="7" t="inlineStr">
        <is>
          <t>Semiconductor Equipment &amp; Materials</t>
        </is>
      </c>
      <c r="F228" s="8" t="n">
        <v>4.041932787409992</v>
      </c>
      <c r="G228" s="5" t="inlineStr">
        <is>
          <t>USD</t>
        </is>
      </c>
      <c r="H228" s="7" t="inlineStr">
        <is>
          <t>2025-09-30 / 2025-12-31 / 2026-03-31 / 2026-06-30</t>
        </is>
      </c>
      <c r="I228" s="8" t="n">
        <v>27.955</v>
      </c>
      <c r="J228" s="8" t="n">
        <v>23.041</v>
      </c>
      <c r="K228" s="8" t="n">
        <v>26.924</v>
      </c>
      <c r="L228" s="8" t="n">
        <v>47.589</v>
      </c>
      <c r="M228" s="9" t="n">
        <v>164.7657727829086</v>
      </c>
      <c r="N228" s="8" t="n">
        <v>77.4508</v>
      </c>
      <c r="O228" s="10" t="inlineStr">
        <is>
          <t>淨利 -$1.9M
經常 -$1.1M
一次: 無重大</t>
        </is>
      </c>
      <c r="P228" s="10" t="inlineStr">
        <is>
          <t>淨利 -$3.6M
經常 -$2.5M
一次: 無重大</t>
        </is>
      </c>
      <c r="Q228" s="10" t="inlineStr">
        <is>
          <t>淨利 -$1.7M
經常 -$1.6M
一次: 無重大</t>
        </is>
      </c>
      <c r="R228" s="10" t="inlineStr">
        <is>
          <t>淨利 +$11.1M
經常 +$10.4M
一次: 無重大</t>
        </is>
      </c>
      <c r="S228" s="11" t="n">
        <v>0.364</v>
      </c>
      <c r="T228" s="9" t="n">
        <v>21.9021202378701</v>
      </c>
      <c r="U228" s="9" t="n">
        <v>23.29109668200634</v>
      </c>
      <c r="V228" s="9" t="n">
        <v>44.89692996280653</v>
      </c>
      <c r="W228" s="10" t="inlineStr">
        <is>
          <t>無重大</t>
        </is>
      </c>
      <c r="X228" s="10" t="inlineStr">
        <is>
          <t>由虧轉正：-1 → -2 → -2 → +10（百萬）</t>
        </is>
      </c>
      <c r="Y228" s="10" t="inlineStr">
        <is>
          <t>最新季已盈利，惟四季未全正 — 盈利未穩定</t>
        </is>
      </c>
      <c r="Z228" s="13" t="inlineStr">
        <is>
          <t>B</t>
        </is>
      </c>
      <c r="AA228" s="7" t="inlineStr">
        <is>
          <t>2026-06-30 / 2026-10-29</t>
        </is>
      </c>
    </row>
    <row r="229" ht="46" customHeight="1">
      <c r="A229" s="5" t="n">
        <v>228</v>
      </c>
      <c r="B229" s="6" t="inlineStr">
        <is>
          <t>MNDY</t>
        </is>
      </c>
      <c r="C229" s="7" t="inlineStr">
        <is>
          <t>monday.com Ltd.</t>
        </is>
      </c>
      <c r="D229" s="7" t="inlineStr">
        <is>
          <t>Technology</t>
        </is>
      </c>
      <c r="E229" s="7" t="inlineStr">
        <is>
          <t>Software - Application</t>
        </is>
      </c>
      <c r="F229" s="8" t="n">
        <v>3.90753539008</v>
      </c>
      <c r="G229" s="5" t="inlineStr">
        <is>
          <t>USD</t>
        </is>
      </c>
      <c r="H229" s="7" t="inlineStr">
        <is>
          <t>2025-09-30 / 2025-12-31 / 2026-03-31 / 2026-06-30</t>
        </is>
      </c>
      <c r="I229" s="8" t="n">
        <v>316.855</v>
      </c>
      <c r="J229" s="8" t="n">
        <v>333.878</v>
      </c>
      <c r="K229" s="8" t="n">
        <v>351.265</v>
      </c>
      <c r="L229" s="8" t="n">
        <v>364.621</v>
      </c>
      <c r="M229" s="9" t="n">
        <v>21.94111312513794</v>
      </c>
      <c r="N229" s="8" t="n">
        <v>386.03723</v>
      </c>
      <c r="O229" s="10" t="inlineStr">
        <is>
          <t>淨利 +$13.1M
經常 -$2.4M
一次: 無重大</t>
        </is>
      </c>
      <c r="P229" s="10" t="inlineStr">
        <is>
          <t>淨利 +$76.7M
經常 +$2.4M
一次: 無重大</t>
        </is>
      </c>
      <c r="Q229" s="10" t="inlineStr">
        <is>
          <t>淨利 +$28.0M
經常 +$19.8M
一次: 無重大</t>
        </is>
      </c>
      <c r="R229" s="10" t="inlineStr">
        <is>
          <t>淨利 +$3.5M
經常 +$19.9M
一次: -$13.7M（營收 4%）</t>
        </is>
      </c>
      <c r="S229" s="11" t="n">
        <v>1.5176</v>
      </c>
      <c r="T229" s="9" t="n">
        <v>5.455527794614134</v>
      </c>
      <c r="U229" s="9" t="n">
        <v>0.9489305333483262</v>
      </c>
      <c r="V229" s="9" t="n">
        <v>88.2999059297188</v>
      </c>
      <c r="W229" s="10" t="inlineStr">
        <is>
          <t>-$13.7M・營收 3.8%</t>
        </is>
      </c>
      <c r="X229" s="10" t="inlineStr">
        <is>
          <t>由虧轉正：-2 → +2 → +20 → +20（百萬）</t>
        </is>
      </c>
      <c r="Y229" s="10" t="inlineStr">
        <is>
          <t>最新季已盈利，惟四季未全正 — 盈利未穩定</t>
        </is>
      </c>
      <c r="Z229" s="13" t="inlineStr">
        <is>
          <t>B</t>
        </is>
      </c>
      <c r="AA229" s="7" t="inlineStr">
        <is>
          <t>2026-06-30 / 2026-11-09</t>
        </is>
      </c>
    </row>
    <row r="230" ht="46" customHeight="1">
      <c r="A230" s="5" t="n">
        <v>229</v>
      </c>
      <c r="B230" s="6" t="inlineStr">
        <is>
          <t>NEO</t>
        </is>
      </c>
      <c r="C230" s="7" t="inlineStr">
        <is>
          <t>NeoGenomics, Inc.</t>
        </is>
      </c>
      <c r="D230" s="7" t="inlineStr">
        <is>
          <t>Health Care</t>
        </is>
      </c>
      <c r="E230" s="7" t="inlineStr">
        <is>
          <t>Diagnostics &amp; Research</t>
        </is>
      </c>
      <c r="F230" s="8" t="n">
        <v>2.232903146996189</v>
      </c>
      <c r="G230" s="5" t="inlineStr">
        <is>
          <t>USD</t>
        </is>
      </c>
      <c r="H230" s="7" t="inlineStr">
        <is>
          <t>2025-09-30 / 2025-12-31 / 2026-03-31 / 2026-06-30</t>
        </is>
      </c>
      <c r="I230" s="8" t="n">
        <v>187.797</v>
      </c>
      <c r="J230" s="8" t="n">
        <v>190.17</v>
      </c>
      <c r="K230" s="8" t="n">
        <v>186.672</v>
      </c>
      <c r="L230" s="8" t="n">
        <v>201.656</v>
      </c>
      <c r="M230" s="9" t="n">
        <v>11.20939723156675</v>
      </c>
      <c r="N230" s="8" t="n">
        <v>209.86172</v>
      </c>
      <c r="O230" s="10" t="inlineStr">
        <is>
          <t>淨利 -$27.1M
經常 -$19.9M
一次: -$5.6M（營收 3%）</t>
        </is>
      </c>
      <c r="P230" s="10" t="inlineStr">
        <is>
          <t>淨利 -$9.9M
經常 -$12.8M
一次: 無重大</t>
        </is>
      </c>
      <c r="Q230" s="10" t="inlineStr">
        <is>
          <t>淨利 -$17.1M
經常 -$18.2M
一次: 無重大</t>
        </is>
      </c>
      <c r="R230" s="10" t="inlineStr">
        <is>
          <t>淨利 +$2.2M
經常 -$9.8M
一次: +$6.7M（營收 3%）</t>
        </is>
      </c>
      <c r="S230" s="11" t="n">
        <v>0.068</v>
      </c>
      <c r="T230" s="9" t="n">
        <v>-4.845380251517436</v>
      </c>
      <c r="U230" s="9" t="n">
        <v>1.109810766850478</v>
      </c>
      <c r="V230" s="9" t="n">
        <v>45.56174872059349</v>
      </c>
      <c r="W230" s="10" t="inlineStr">
        <is>
          <t>+$6.7M・營收 3.3%</t>
        </is>
      </c>
      <c r="X230" s="10" t="inlineStr">
        <is>
          <t>四季皆虧（收窄）：-20 → -13 → -18 → -10（百萬）</t>
        </is>
      </c>
      <c r="Y230" s="10" t="inlineStr">
        <is>
          <t>最新季淨利為正但營運仍虧 — 靠營運外項目</t>
        </is>
      </c>
      <c r="Z230" s="13" t="inlineStr">
        <is>
          <t>B</t>
        </is>
      </c>
      <c r="AA230" s="7" t="inlineStr">
        <is>
          <t>2026-06-30 / 2026-10-27</t>
        </is>
      </c>
    </row>
    <row r="231" ht="46" customHeight="1">
      <c r="A231" s="5" t="n">
        <v>230</v>
      </c>
      <c r="B231" s="6" t="inlineStr">
        <is>
          <t>OLN</t>
        </is>
      </c>
      <c r="C231" s="7" t="inlineStr">
        <is>
          <t>Olin Corporation</t>
        </is>
      </c>
      <c r="D231" s="7" t="inlineStr">
        <is>
          <t>Industrials</t>
        </is>
      </c>
      <c r="E231" s="7" t="inlineStr">
        <is>
          <t>Chemicals</t>
        </is>
      </c>
      <c r="F231" s="8" t="n">
        <v>1.979875851705368</v>
      </c>
      <c r="G231" s="5" t="inlineStr">
        <is>
          <t>USD</t>
        </is>
      </c>
      <c r="H231" s="7" t="inlineStr">
        <is>
          <t>2025-09-30 / 2025-12-31 / 2026-03-31 / 2026-06-30</t>
        </is>
      </c>
      <c r="I231" s="8" t="n">
        <v>1713.2</v>
      </c>
      <c r="J231" s="8" t="n">
        <v>1665.1</v>
      </c>
      <c r="K231" s="8" t="n">
        <v>1583</v>
      </c>
      <c r="L231" s="8" t="n">
        <v>1741.9</v>
      </c>
      <c r="M231" s="9" t="n">
        <v>-0.93271910367968</v>
      </c>
      <c r="N231" s="8" t="n">
        <v>1794.65125</v>
      </c>
      <c r="O231" s="10" t="inlineStr">
        <is>
          <t>淨利 +$42.8M
經常 +$85.7M
一次: 無重大</t>
        </is>
      </c>
      <c r="P231" s="10" t="inlineStr">
        <is>
          <t>淨利 -$143.4M
經常 -$137.4M
一次: 無重大</t>
        </is>
      </c>
      <c r="Q231" s="10" t="inlineStr">
        <is>
          <t>淨利 -$83.0M
經常 -$69.2M
一次: 無重大</t>
        </is>
      </c>
      <c r="R231" s="10" t="inlineStr">
        <is>
          <t>淨利 -$13.3M
經常 +$67.6M
一次: 無重大</t>
        </is>
      </c>
      <c r="S231" s="11" t="n">
        <v>-0.09858</v>
      </c>
      <c r="T231" s="9" t="n">
        <v>3.880819794477294</v>
      </c>
      <c r="U231" s="9" t="n">
        <v>-0.7635340719903554</v>
      </c>
      <c r="V231" s="9" t="n">
        <v>9.770939778402893</v>
      </c>
      <c r="W231" s="10" t="inlineStr">
        <is>
          <t>無重大</t>
        </is>
      </c>
      <c r="X231" s="10" t="inlineStr">
        <is>
          <t>反覆：+86 → -137 → -69 → +68（百萬）</t>
        </is>
      </c>
      <c r="Y231" s="10" t="inlineStr">
        <is>
          <t>最新季營運為正但淨利為負（利息／一次性／稅拖累）</t>
        </is>
      </c>
      <c r="Z231" s="13" t="inlineStr">
        <is>
          <t>B</t>
        </is>
      </c>
      <c r="AA231" s="7" t="inlineStr">
        <is>
          <t>2026-06-30 / 2026-10-29</t>
        </is>
      </c>
    </row>
    <row r="232" ht="46" customHeight="1">
      <c r="A232" s="5" t="n">
        <v>231</v>
      </c>
      <c r="B232" s="6" t="inlineStr">
        <is>
          <t>BLFS</t>
        </is>
      </c>
      <c r="C232" s="7" t="inlineStr">
        <is>
          <t>BioLife Solutions, Inc.</t>
        </is>
      </c>
      <c r="D232" s="7" t="inlineStr">
        <is>
          <t>Health Care</t>
        </is>
      </c>
      <c r="E232" s="7" t="inlineStr">
        <is>
          <t>Medical Instruments &amp; Supplies</t>
        </is>
      </c>
      <c r="F232" s="8" t="n">
        <v>1.723961315677299</v>
      </c>
      <c r="G232" s="5" t="inlineStr">
        <is>
          <t>USD</t>
        </is>
      </c>
      <c r="H232" s="7" t="inlineStr">
        <is>
          <t>2025-09-30 / 2025-12-31 / 2026-03-31 / 2026-06-30</t>
        </is>
      </c>
      <c r="I232" s="8" t="n">
        <v>28.067</v>
      </c>
      <c r="J232" s="8" t="n">
        <v>18.785</v>
      </c>
      <c r="K232" s="8" t="n">
        <v>27.5</v>
      </c>
      <c r="L232" s="8" t="n">
        <v>28.466</v>
      </c>
      <c r="M232" s="9" t="n">
        <v>21.45234235002988</v>
      </c>
      <c r="N232" s="8" t="n">
        <v>30.1326</v>
      </c>
      <c r="O232" s="10" t="inlineStr">
        <is>
          <t>淨利 +$0.6M
經常 -$0.1M
一次: 無重大</t>
        </is>
      </c>
      <c r="P232" s="10" t="inlineStr">
        <is>
          <t>淨利 +$11.1M
經常 +$1.3M
一次: 無重大</t>
        </is>
      </c>
      <c r="Q232" s="10" t="inlineStr">
        <is>
          <t>淨利 +$1.2M
經常 +$0.0M
一次: 無重大</t>
        </is>
      </c>
      <c r="R232" s="10" t="inlineStr">
        <is>
          <t>淨利 +$45.1M
經常 +$1.7M
一次: 無重大</t>
        </is>
      </c>
      <c r="S232" s="11" t="n">
        <v>0.08</v>
      </c>
      <c r="T232" s="9" t="n">
        <v>5.957984964519075</v>
      </c>
      <c r="U232" s="9" t="n">
        <v>158.448675613012</v>
      </c>
      <c r="V232" s="9" t="n">
        <v>64.24155132438698</v>
      </c>
      <c r="W232" s="10" t="inlineStr">
        <is>
          <t>無重大</t>
        </is>
      </c>
      <c r="X232" s="10" t="inlineStr">
        <is>
          <t>由虧轉正：-0 → +1 → +0 → +2（百萬）</t>
        </is>
      </c>
      <c r="Y232" s="10" t="inlineStr">
        <is>
          <t>最新季已盈利，惟四季未全正 — 盈利未穩定</t>
        </is>
      </c>
      <c r="Z232" s="13" t="inlineStr">
        <is>
          <t>B</t>
        </is>
      </c>
      <c r="AA232" s="7" t="inlineStr">
        <is>
          <t>2026-06-30 / 2026-11-05</t>
        </is>
      </c>
    </row>
    <row r="233" ht="46" customHeight="1">
      <c r="A233" s="5" t="n">
        <v>232</v>
      </c>
      <c r="B233" s="6" t="inlineStr">
        <is>
          <t>BJRI</t>
        </is>
      </c>
      <c r="C233" s="7" t="inlineStr">
        <is>
          <t>BJ's Restaurants, Inc.</t>
        </is>
      </c>
      <c r="D233" s="7" t="inlineStr">
        <is>
          <t>Consumer Discretionary</t>
        </is>
      </c>
      <c r="E233" s="7" t="inlineStr">
        <is>
          <t>Restaurants</t>
        </is>
      </c>
      <c r="F233" s="8" t="n">
        <v>1.274085786126965</v>
      </c>
      <c r="G233" s="5" t="inlineStr">
        <is>
          <t>USD</t>
        </is>
      </c>
      <c r="H233" s="7" t="inlineStr">
        <is>
          <t>2025-09-30 / 2025-12-31 / 2026-03-31 / 2026-06-30</t>
        </is>
      </c>
      <c r="I233" s="8" t="n">
        <v>330.157</v>
      </c>
      <c r="J233" s="8" t="n">
        <v>355.399</v>
      </c>
      <c r="K233" s="8" t="n">
        <v>358.118</v>
      </c>
      <c r="L233" s="8" t="n">
        <v>388.888</v>
      </c>
      <c r="M233" s="9" t="n">
        <v>6.370675908172108</v>
      </c>
      <c r="N233" s="8" t="n">
        <v>365.80918</v>
      </c>
      <c r="O233" s="10" t="inlineStr">
        <is>
          <t>淨利 +$0.5M
經常 -$0.4M
一次: 無重大</t>
        </is>
      </c>
      <c r="P233" s="10" t="inlineStr">
        <is>
          <t>淨利 +$12.6M
經常 +$11.9M
一次: 無重大</t>
        </is>
      </c>
      <c r="Q233" s="10" t="inlineStr">
        <is>
          <t>淨利 +$9.0M
經常 +$12.4M
一次: 無重大</t>
        </is>
      </c>
      <c r="R233" s="10" t="inlineStr">
        <is>
          <t>淨利 +$18.8M
經常 +$19.5M
一次: 無重大</t>
        </is>
      </c>
      <c r="S233" s="11" t="n">
        <v>0.7059299999999999</v>
      </c>
      <c r="T233" s="9" t="n">
        <v>5.005554298409826</v>
      </c>
      <c r="U233" s="9" t="n">
        <v>4.829668182098702</v>
      </c>
      <c r="V233" s="9" t="n">
        <v>17.18901071773879</v>
      </c>
      <c r="W233" s="10" t="inlineStr">
        <is>
          <t>無重大</t>
        </is>
      </c>
      <c r="X233" s="10" t="inlineStr">
        <is>
          <t>由虧轉正：-0 → +12 → +12 → +19（百萬）</t>
        </is>
      </c>
      <c r="Y233" s="10" t="inlineStr">
        <is>
          <t>最新季已盈利，惟四季未全正 — 盈利未穩定</t>
        </is>
      </c>
      <c r="Z233" s="13" t="inlineStr">
        <is>
          <t>B</t>
        </is>
      </c>
      <c r="AA233" s="7" t="inlineStr">
        <is>
          <t>2026-06-30 / 2026-10-29</t>
        </is>
      </c>
    </row>
    <row r="234" ht="46" customHeight="1">
      <c r="A234" s="5" t="n">
        <v>233</v>
      </c>
      <c r="B234" s="6" t="inlineStr">
        <is>
          <t>ALRS</t>
        </is>
      </c>
      <c r="C234" s="7" t="inlineStr">
        <is>
          <t>Alerus Financial Corporation</t>
        </is>
      </c>
      <c r="D234" s="7" t="inlineStr">
        <is>
          <t>Finance</t>
        </is>
      </c>
      <c r="E234" s="7" t="inlineStr">
        <is>
          <t>Banks - Regional</t>
        </is>
      </c>
      <c r="F234" s="8" t="n">
        <v>0.8423011040238663</v>
      </c>
      <c r="G234" s="5" t="inlineStr">
        <is>
          <t>USD</t>
        </is>
      </c>
      <c r="H234" s="7" t="inlineStr">
        <is>
          <t>2025-09-30 / 2025-12-31 / 2026-03-31 / 2026-06-30</t>
        </is>
      </c>
      <c r="I234" s="8" t="n">
        <v>71.541</v>
      </c>
      <c r="J234" s="8" t="n">
        <v>7.07</v>
      </c>
      <c r="K234" s="8" t="n">
        <v>75.04900000000001</v>
      </c>
      <c r="L234" s="8" t="n">
        <v>80.04300000000001</v>
      </c>
      <c r="M234" s="9" t="n">
        <v>8.378579649312856</v>
      </c>
      <c r="N234" s="8" t="n">
        <v>77.694</v>
      </c>
      <c r="O234" s="10" t="inlineStr">
        <is>
          <t>淨利 +$16.8M
經常* +$22.0M
一次: 無重大</t>
        </is>
      </c>
      <c r="P234" s="10" t="inlineStr">
        <is>
          <t>淨利 -$32.6M
經常* -$43.4M
一次: 無重大</t>
        </is>
      </c>
      <c r="Q234" s="10" t="inlineStr">
        <is>
          <t>淨利 +$22.8M
經常* +$30.2M
一次: 無重大</t>
        </is>
      </c>
      <c r="R234" s="10" t="inlineStr">
        <is>
          <t>淨利 +$20.7M
經常* +$27.3M
一次: 無重大</t>
        </is>
      </c>
      <c r="S234" s="11" t="n">
        <v>0.67</v>
      </c>
      <c r="T234" s="9" t="n">
        <v>34.08043176792474</v>
      </c>
      <c r="U234" s="9" t="n">
        <v>25.82861711829892</v>
      </c>
      <c r="V234" s="9" t="n"/>
      <c r="W234" s="10" t="inlineStr">
        <is>
          <t>無重大</t>
        </is>
      </c>
      <c r="X234" s="10" t="inlineStr">
        <is>
          <t>反覆：+22 → -43 → +30 → +27（百萬）</t>
        </is>
      </c>
      <c r="Y234" s="10" t="inlineStr">
        <is>
          <t>最新季已盈利，惟四季未全正 — 盈利未穩定</t>
        </is>
      </c>
      <c r="Z234" s="13" t="inlineStr">
        <is>
          <t>B</t>
        </is>
      </c>
      <c r="AA234" s="7" t="inlineStr">
        <is>
          <t>2026-06-30 / 2026-10-29</t>
        </is>
      </c>
    </row>
    <row r="235" ht="46" customHeight="1">
      <c r="A235" s="5" t="n">
        <v>234</v>
      </c>
      <c r="B235" s="6" t="inlineStr">
        <is>
          <t>SNOW</t>
        </is>
      </c>
      <c r="C235" s="7" t="inlineStr">
        <is>
          <t>Snowflake Inc.</t>
        </is>
      </c>
      <c r="D235" s="7" t="inlineStr">
        <is>
          <t>Technology</t>
        </is>
      </c>
      <c r="E235" s="7" t="inlineStr">
        <is>
          <t>Software - Application</t>
        </is>
      </c>
      <c r="F235" s="8" t="n">
        <v>116.866588</v>
      </c>
      <c r="G235" s="5" t="inlineStr">
        <is>
          <t>USD</t>
        </is>
      </c>
      <c r="H235" s="7" t="inlineStr">
        <is>
          <t>2025-07-31 / 2025-10-31 / 2026-01-31 / 2026-04-30</t>
        </is>
      </c>
      <c r="I235" s="8" t="n">
        <v>1144.969</v>
      </c>
      <c r="J235" s="8" t="n">
        <v>1212.909</v>
      </c>
      <c r="K235" s="8" t="n">
        <v>1283.994</v>
      </c>
      <c r="L235" s="8" t="n">
        <v>1390.951</v>
      </c>
      <c r="M235" s="9" t="n">
        <v>33.47910033260592</v>
      </c>
      <c r="N235" s="8" t="n">
        <v>1721.15631</v>
      </c>
      <c r="O235" s="10" t="inlineStr">
        <is>
          <t>淨利 -$298.0M
經常 -$340.3M
一次: 無重大</t>
        </is>
      </c>
      <c r="P235" s="10" t="inlineStr">
        <is>
          <t>淨利 -$294.0M
經常 -$329.5M
一次: 無重大</t>
        </is>
      </c>
      <c r="Q235" s="10" t="inlineStr">
        <is>
          <t>淨利 -$309.6M
經常 -$318.2M
一次: -$14.6M（營收 1%）</t>
        </is>
      </c>
      <c r="R235" s="10" t="inlineStr">
        <is>
          <t>淨利 -$295.6M
經常 -$326.2M
一次: 無重大</t>
        </is>
      </c>
      <c r="S235" s="11" t="n">
        <v>0.59842</v>
      </c>
      <c r="T235" s="9" t="n">
        <v>-23.44827387880666</v>
      </c>
      <c r="U235" s="9" t="n">
        <v>-21.24956234978802</v>
      </c>
      <c r="V235" s="9" t="n">
        <v>66.60558136124133</v>
      </c>
      <c r="W235" s="10" t="inlineStr">
        <is>
          <t>無重大</t>
        </is>
      </c>
      <c r="X235" s="10" t="inlineStr">
        <is>
          <t>四季皆虧（收窄）：-340 → -329 → -318 → -326（百萬）</t>
        </is>
      </c>
      <c r="Y235" s="10" t="inlineStr">
        <is>
          <t>仍虧損，但營運虧損較 Q-3 收窄</t>
        </is>
      </c>
      <c r="Z235" s="14" t="inlineStr">
        <is>
          <t>C</t>
        </is>
      </c>
      <c r="AA235" s="7" t="inlineStr">
        <is>
          <t>2026-04-30 / 2026-12-02</t>
        </is>
      </c>
    </row>
    <row r="236" ht="46" customHeight="1">
      <c r="A236" s="5" t="n">
        <v>235</v>
      </c>
      <c r="B236" s="6" t="inlineStr">
        <is>
          <t>ZS</t>
        </is>
      </c>
      <c r="C236" s="7" t="inlineStr">
        <is>
          <t>Zscaler, Inc.</t>
        </is>
      </c>
      <c r="D236" s="7" t="inlineStr">
        <is>
          <t>Technology</t>
        </is>
      </c>
      <c r="E236" s="7" t="inlineStr">
        <is>
          <t>Software - Infrastructure</t>
        </is>
      </c>
      <c r="F236" s="8" t="n">
        <v>27.45827734524477</v>
      </c>
      <c r="G236" s="5" t="inlineStr">
        <is>
          <t>USD</t>
        </is>
      </c>
      <c r="H236" s="7" t="inlineStr">
        <is>
          <t>2025-07-31 / 2025-10-31 / 2026-01-31 / 2026-04-30</t>
        </is>
      </c>
      <c r="I236" s="8" t="n">
        <v>719.226</v>
      </c>
      <c r="J236" s="8" t="n">
        <v>788.112</v>
      </c>
      <c r="K236" s="8" t="n">
        <v>815.751</v>
      </c>
      <c r="L236" s="8" t="n">
        <v>850.475</v>
      </c>
      <c r="M236" s="9" t="n">
        <v>25.43250043508143</v>
      </c>
      <c r="N236" s="8" t="n">
        <v>957.85331</v>
      </c>
      <c r="O236" s="10" t="inlineStr">
        <is>
          <t>淨利 -$17.6M
經常 -$30.9M
一次: 無重大</t>
        </is>
      </c>
      <c r="P236" s="10" t="inlineStr">
        <is>
          <t>淨利 -$11.6M
經常 -$36.4M
一次: 無重大</t>
        </is>
      </c>
      <c r="Q236" s="10" t="inlineStr">
        <is>
          <t>淨利 -$34.3M
經常 -$51.8M
一次: 無重大</t>
        </is>
      </c>
      <c r="R236" s="10" t="inlineStr">
        <is>
          <t>淨利 -$13.9M
經常 -$29.6M
一次: 無重大</t>
        </is>
      </c>
      <c r="S236" s="11" t="n">
        <v>1.18272</v>
      </c>
      <c r="T236" s="9" t="n">
        <v>-3.485111261353949</v>
      </c>
      <c r="U236" s="9" t="n">
        <v>-1.632381904229989</v>
      </c>
      <c r="V236" s="9" t="n">
        <v>77.34771745201211</v>
      </c>
      <c r="W236" s="10" t="inlineStr">
        <is>
          <t>無重大</t>
        </is>
      </c>
      <c r="X236" s="10" t="inlineStr">
        <is>
          <t>四季皆虧（收窄）：-31 → -36 → -52 → -30（百萬）</t>
        </is>
      </c>
      <c r="Y236" s="10" t="inlineStr">
        <is>
          <t>仍虧損，但營運虧損較 Q-3 收窄</t>
        </is>
      </c>
      <c r="Z236" s="14" t="inlineStr">
        <is>
          <t>C</t>
        </is>
      </c>
      <c r="AA236" s="7" t="inlineStr">
        <is>
          <t>2026-04-30 / 2026-11-24</t>
        </is>
      </c>
    </row>
    <row r="237" ht="46" customHeight="1">
      <c r="A237" s="5" t="n">
        <v>236</v>
      </c>
      <c r="B237" s="6" t="inlineStr">
        <is>
          <t>LUMN</t>
        </is>
      </c>
      <c r="C237" s="7" t="inlineStr">
        <is>
          <t>Lumen Technologies, Inc.</t>
        </is>
      </c>
      <c r="D237" s="7" t="inlineStr">
        <is>
          <t>Telecommunications</t>
        </is>
      </c>
      <c r="E237" s="7" t="inlineStr">
        <is>
          <t>Telecom Services</t>
        </is>
      </c>
      <c r="F237" s="8" t="n">
        <v>6.982885385373286</v>
      </c>
      <c r="G237" s="5" t="inlineStr">
        <is>
          <t>USD</t>
        </is>
      </c>
      <c r="H237" s="7" t="inlineStr">
        <is>
          <t>2025-09-30 / 2025-12-31 / 2026-03-31 / 2026-06-30</t>
        </is>
      </c>
      <c r="I237" s="8" t="n">
        <v>3087</v>
      </c>
      <c r="J237" s="8" t="n">
        <v>3041</v>
      </c>
      <c r="K237" s="8" t="n">
        <v>2899</v>
      </c>
      <c r="L237" s="8" t="n">
        <v>2805</v>
      </c>
      <c r="M237" s="9" t="n">
        <v>-9.282018111254853</v>
      </c>
      <c r="N237" s="8" t="n">
        <v>2696.80912</v>
      </c>
      <c r="O237" s="10" t="inlineStr">
        <is>
          <t>淨利 -$621.0M
經常 -$116.0M
一次: -$305.6M（營收 10%）</t>
        </is>
      </c>
      <c r="P237" s="10" t="inlineStr">
        <is>
          <t>淨利 -$2.0M
經常 -$200.0M
一次: -$53.7M（營收 2%）</t>
        </is>
      </c>
      <c r="Q237" s="10" t="inlineStr">
        <is>
          <t>淨利 -$200.0M
經常 +$6.0M
一次: +$219.6M（營收 8%）</t>
        </is>
      </c>
      <c r="R237" s="10" t="inlineStr">
        <is>
          <t>淨利 -$201.0M
經常 -$57.0M
一次: 無重大</t>
        </is>
      </c>
      <c r="S237" s="11" t="n">
        <v>-0.1165</v>
      </c>
      <c r="T237" s="9" t="n">
        <v>-2.032085561497326</v>
      </c>
      <c r="U237" s="9" t="n">
        <v>-7.165775401069519</v>
      </c>
      <c r="V237" s="9" t="n">
        <v>49.55436720142603</v>
      </c>
      <c r="W237" s="10" t="inlineStr">
        <is>
          <t>無重大</t>
        </is>
      </c>
      <c r="X237" s="10" t="inlineStr">
        <is>
          <t>反覆：-116 → -200 → +6 → -57（百萬）</t>
        </is>
      </c>
      <c r="Y237" s="10" t="inlineStr">
        <is>
          <t>仍虧損，但營運虧損較 Q-3 收窄</t>
        </is>
      </c>
      <c r="Z237" s="14" t="inlineStr">
        <is>
          <t>C</t>
        </is>
      </c>
      <c r="AA237" s="7" t="inlineStr">
        <is>
          <t>2026-06-30 / 2026-10-29</t>
        </is>
      </c>
    </row>
    <row r="238" ht="46" customHeight="1">
      <c r="A238" s="5" t="n">
        <v>237</v>
      </c>
      <c r="B238" s="6" t="inlineStr">
        <is>
          <t>SMR</t>
        </is>
      </c>
      <c r="C238" s="7" t="inlineStr">
        <is>
          <t>NuScale Power Corporation</t>
        </is>
      </c>
      <c r="D238" s="7" t="inlineStr">
        <is>
          <t>Industrials</t>
        </is>
      </c>
      <c r="E238" s="7" t="inlineStr">
        <is>
          <t>Specialty Industrial Machinery</t>
        </is>
      </c>
      <c r="F238" s="8" t="n">
        <v>4.16831573872033</v>
      </c>
      <c r="G238" s="5" t="inlineStr">
        <is>
          <t>USD</t>
        </is>
      </c>
      <c r="H238" s="7" t="inlineStr">
        <is>
          <t>2025-09-30 / 2025-12-31 / 2026-03-31 / 2026-06-30</t>
        </is>
      </c>
      <c r="I238" s="8" t="n">
        <v>8.242000000000001</v>
      </c>
      <c r="J238" s="8" t="n">
        <v>1.808</v>
      </c>
      <c r="K238" s="8" t="n">
        <v>0.5649999999999999</v>
      </c>
      <c r="L238" s="8" t="n">
        <v>0.075</v>
      </c>
      <c r="M238" s="9" t="n">
        <v>-99.0687856965483</v>
      </c>
      <c r="N238" s="8" t="n">
        <v>12.54114</v>
      </c>
      <c r="O238" s="10" t="inlineStr">
        <is>
          <t>淨利 -$273.3M
經常 -$538.4M
一次: +$5.8M（營收 70%）</t>
        </is>
      </c>
      <c r="P238" s="10" t="inlineStr">
        <is>
          <t>淨利 -$50.8M
經常 -$72.7M
一次: +$8.9M（營收 491%）</t>
        </is>
      </c>
      <c r="Q238" s="10" t="inlineStr">
        <is>
          <t>淨利 -$44.0M
經常 -$57.5M
一次: 無重大</t>
        </is>
      </c>
      <c r="R238" s="10" t="inlineStr">
        <is>
          <t>淨利 -$47.5M
經常 -$64.0M
一次: +$13.9M（營收 18587%）</t>
        </is>
      </c>
      <c r="S238" s="11" t="n">
        <v>-0.11833</v>
      </c>
      <c r="T238" s="9" t="n">
        <v>-85337.33333333333</v>
      </c>
      <c r="U238" s="9" t="n">
        <v>-63385.33333333334</v>
      </c>
      <c r="V238" s="9" t="n">
        <v>-202.6666666666667</v>
      </c>
      <c r="W238" s="10" t="inlineStr">
        <is>
          <t>+$13.9M・營收 18586.7%</t>
        </is>
      </c>
      <c r="X238" s="10" t="inlineStr">
        <is>
          <t>四季皆虧（收窄）：-538 → -73 → -58 → -64（百萬）</t>
        </is>
      </c>
      <c r="Y238" s="10" t="inlineStr">
        <is>
          <t>仍虧損，但營運虧損較 Q-3 收窄</t>
        </is>
      </c>
      <c r="Z238" s="14" t="inlineStr">
        <is>
          <t>C</t>
        </is>
      </c>
      <c r="AA238" s="7" t="inlineStr">
        <is>
          <t>2026-06-30 / 2026-11-05</t>
        </is>
      </c>
    </row>
    <row r="239" ht="46" customHeight="1">
      <c r="A239" s="5" t="n">
        <v>238</v>
      </c>
      <c r="B239" s="6" t="inlineStr">
        <is>
          <t>IOVA</t>
        </is>
      </c>
      <c r="C239" s="7" t="inlineStr">
        <is>
          <t>Iovance Biotherapeutics, Inc.</t>
        </is>
      </c>
      <c r="D239" s="7" t="inlineStr">
        <is>
          <t>Health Care</t>
        </is>
      </c>
      <c r="E239" s="7" t="inlineStr">
        <is>
          <t>Biotechnology</t>
        </is>
      </c>
      <c r="F239" s="8" t="n">
        <v>3.981618887763022</v>
      </c>
      <c r="G239" s="5" t="inlineStr">
        <is>
          <t>USD</t>
        </is>
      </c>
      <c r="H239" s="7" t="inlineStr">
        <is>
          <t>2025-09-30 / 2025-12-31 / 2026-03-31 / 2026-06-30</t>
        </is>
      </c>
      <c r="I239" s="8" t="n">
        <v>67.455</v>
      </c>
      <c r="J239" s="8" t="n">
        <v>86.771</v>
      </c>
      <c r="K239" s="8" t="n">
        <v>71.43000000000001</v>
      </c>
      <c r="L239" s="8" t="n">
        <v>99.313</v>
      </c>
      <c r="M239" s="9" t="n">
        <v>65.65419001868162</v>
      </c>
      <c r="N239" s="8" t="n">
        <v>120.66999</v>
      </c>
      <c r="O239" s="10" t="inlineStr">
        <is>
          <t>淨利 -$91.3M
經常 -$89.8M
一次: -$5.0M（營收 7%）</t>
        </is>
      </c>
      <c r="P239" s="10" t="inlineStr">
        <is>
          <t>淨利 -$71.9M
經常 -$73.5M
一次: 無重大</t>
        </is>
      </c>
      <c r="Q239" s="10" t="inlineStr">
        <is>
          <t>淨利 -$79.0M
經常 -$81.0M
一次: 無重大</t>
        </is>
      </c>
      <c r="R239" s="10" t="inlineStr">
        <is>
          <t>淨利 -$47.3M
經常 -$51.9M
一次: 無重大</t>
        </is>
      </c>
      <c r="S239" s="11" t="n">
        <v>-0.10629</v>
      </c>
      <c r="T239" s="9" t="n">
        <v>-52.26405405133265</v>
      </c>
      <c r="U239" s="9" t="n">
        <v>-47.64230261899247</v>
      </c>
      <c r="V239" s="9" t="n">
        <v>56.10343056800217</v>
      </c>
      <c r="W239" s="10" t="inlineStr">
        <is>
          <t>無重大</t>
        </is>
      </c>
      <c r="X239" s="10" t="inlineStr">
        <is>
          <t>四季皆虧（收窄）：-90 → -73 → -81 → -52（百萬）</t>
        </is>
      </c>
      <c r="Y239" s="10" t="inlineStr">
        <is>
          <t>仍虧損，但營運虧損較 Q-3 收窄</t>
        </is>
      </c>
      <c r="Z239" s="14" t="inlineStr">
        <is>
          <t>C</t>
        </is>
      </c>
      <c r="AA239" s="7" t="inlineStr">
        <is>
          <t>2026-06-30 / 2026-11-05</t>
        </is>
      </c>
    </row>
    <row r="240" ht="46" customHeight="1">
      <c r="A240" s="5" t="n">
        <v>239</v>
      </c>
      <c r="B240" s="6" t="inlineStr">
        <is>
          <t>RCUS</t>
        </is>
      </c>
      <c r="C240" s="7" t="inlineStr">
        <is>
          <t>Arcus Biosciences, Inc.</t>
        </is>
      </c>
      <c r="D240" s="7" t="inlineStr">
        <is>
          <t>Health Care</t>
        </is>
      </c>
      <c r="E240" s="7" t="inlineStr">
        <is>
          <t>Biotechnology</t>
        </is>
      </c>
      <c r="F240" s="8" t="n">
        <v>3.776707932079785</v>
      </c>
      <c r="G240" s="5" t="inlineStr">
        <is>
          <t>USD</t>
        </is>
      </c>
      <c r="H240" s="7" t="inlineStr">
        <is>
          <t>2025-09-30 / 2025-12-31 / 2026-03-31 / 2026-06-30</t>
        </is>
      </c>
      <c r="I240" s="8" t="n">
        <v>26</v>
      </c>
      <c r="J240" s="8" t="n">
        <v>33</v>
      </c>
      <c r="K240" s="8" t="n">
        <v>17</v>
      </c>
      <c r="L240" s="8" t="n">
        <v>41</v>
      </c>
      <c r="M240" s="9" t="n">
        <v>-74.375</v>
      </c>
      <c r="N240" s="8" t="n">
        <v>7.925</v>
      </c>
      <c r="O240" s="10" t="inlineStr">
        <is>
          <t>淨利 -$135.0M
經常 -$142.0M
一次: 無重大</t>
        </is>
      </c>
      <c r="P240" s="10" t="inlineStr">
        <is>
          <t>淨利 -$106.0M
經常 -$114.0M
一次: 無重大</t>
        </is>
      </c>
      <c r="Q240" s="10" t="inlineStr">
        <is>
          <t>淨利 -$128.0M
經常 -$134.0M
一次: 無重大</t>
        </is>
      </c>
      <c r="R240" s="10" t="inlineStr">
        <is>
          <t>淨利 -$91.0M
經常 -$96.0M
一次: 無重大</t>
        </is>
      </c>
      <c r="S240" s="11" t="n">
        <v>-0.85</v>
      </c>
      <c r="T240" s="9" t="n">
        <v>-234.1463414634146</v>
      </c>
      <c r="U240" s="9" t="n">
        <v>-221.9512195121951</v>
      </c>
      <c r="V240" s="9" t="n"/>
      <c r="W240" s="10" t="inlineStr">
        <is>
          <t>無重大</t>
        </is>
      </c>
      <c r="X240" s="10" t="inlineStr">
        <is>
          <t>四季皆虧（收窄）：-142 → -114 → -134 → -96（百萬）</t>
        </is>
      </c>
      <c r="Y240" s="10" t="inlineStr">
        <is>
          <t>仍虧損，但營運虧損較 Q-3 收窄</t>
        </is>
      </c>
      <c r="Z240" s="14" t="inlineStr">
        <is>
          <t>C</t>
        </is>
      </c>
      <c r="AA240" s="7" t="inlineStr">
        <is>
          <t>2026-06-30 / 2026-10-27</t>
        </is>
      </c>
    </row>
    <row r="241" ht="46" customHeight="1">
      <c r="A241" s="5" t="n">
        <v>240</v>
      </c>
      <c r="B241" s="6" t="inlineStr">
        <is>
          <t>SOUN</t>
        </is>
      </c>
      <c r="C241" s="7" t="inlineStr">
        <is>
          <t>SoundHound AI, Inc.</t>
        </is>
      </c>
      <c r="D241" s="7" t="inlineStr">
        <is>
          <t>Technology</t>
        </is>
      </c>
      <c r="E241" s="7" t="inlineStr">
        <is>
          <t>Software - Application</t>
        </is>
      </c>
      <c r="F241" s="8" t="n">
        <v>2.993300348675646</v>
      </c>
      <c r="G241" s="5" t="inlineStr">
        <is>
          <t>USD</t>
        </is>
      </c>
      <c r="H241" s="7" t="inlineStr">
        <is>
          <t>2025-09-30 / 2025-12-31 / 2026-03-31 / 2026-06-30</t>
        </is>
      </c>
      <c r="I241" s="8" t="n">
        <v>42.049</v>
      </c>
      <c r="J241" s="8" t="n">
        <v>55.059</v>
      </c>
      <c r="K241" s="8" t="n">
        <v>44.195</v>
      </c>
      <c r="L241" s="8" t="n">
        <v>61.897</v>
      </c>
      <c r="M241" s="9" t="n">
        <v>45.01557997329147</v>
      </c>
      <c r="N241" s="8" t="n">
        <v>69.97171</v>
      </c>
      <c r="O241" s="10" t="inlineStr">
        <is>
          <t>淨利 -$109.3M
經常 -$49.6M
一次: -$48.3M（營收 115%）</t>
        </is>
      </c>
      <c r="P241" s="10" t="inlineStr">
        <is>
          <t>淨利 +$40.1M
經常 -$42.1M
一次: +$77.8M（營收 141%）</t>
        </is>
      </c>
      <c r="Q241" s="10" t="inlineStr">
        <is>
          <t>淨利 -$25.0M
經常 -$62.1M
一次: +$22.1M（營收 50%）</t>
        </is>
      </c>
      <c r="R241" s="10" t="inlineStr">
        <is>
          <t>淨利 -$42.8M
經常 -$47.0M
一次: +$2.1M（營收 3%）</t>
        </is>
      </c>
      <c r="S241" s="11" t="n">
        <v>-0.045</v>
      </c>
      <c r="T241" s="9" t="n">
        <v>-75.92451976670921</v>
      </c>
      <c r="U241" s="9" t="n">
        <v>-69.1745965071005</v>
      </c>
      <c r="V241" s="9" t="n">
        <v>45.12335008158716</v>
      </c>
      <c r="W241" s="10" t="inlineStr">
        <is>
          <t>+$2.1M・營收 3.4%</t>
        </is>
      </c>
      <c r="X241" s="10" t="inlineStr">
        <is>
          <t>四季皆虧（收窄）：-50 → -42 → -62 → -47（百萬）</t>
        </is>
      </c>
      <c r="Y241" s="10" t="inlineStr">
        <is>
          <t>仍虧損，但營運虧損較 Q-3 收窄</t>
        </is>
      </c>
      <c r="Z241" s="14" t="inlineStr">
        <is>
          <t>C</t>
        </is>
      </c>
      <c r="AA241" s="7" t="inlineStr">
        <is>
          <t>2026-06-30 / 2026-11-05</t>
        </is>
      </c>
    </row>
    <row r="242" ht="46" customHeight="1">
      <c r="A242" s="5" t="n">
        <v>241</v>
      </c>
      <c r="B242" s="6" t="inlineStr">
        <is>
          <t>RDW</t>
        </is>
      </c>
      <c r="C242" s="7" t="inlineStr">
        <is>
          <t>Redwire Corporation</t>
        </is>
      </c>
      <c r="D242" s="7" t="inlineStr">
        <is>
          <t>Industrials</t>
        </is>
      </c>
      <c r="E242" s="7" t="inlineStr">
        <is>
          <t>Aerospace &amp; Defense</t>
        </is>
      </c>
      <c r="F242" s="8" t="n">
        <v>2.632422172820138</v>
      </c>
      <c r="G242" s="5" t="inlineStr">
        <is>
          <t>USD</t>
        </is>
      </c>
      <c r="H242" s="7" t="inlineStr">
        <is>
          <t>2025-09-30 / 2025-12-31 / 2026-03-31 / 2026-06-30</t>
        </is>
      </c>
      <c r="I242" s="8" t="n">
        <v>103.432</v>
      </c>
      <c r="J242" s="8" t="n">
        <v>108.794</v>
      </c>
      <c r="K242" s="8" t="n">
        <v>96.97199999999999</v>
      </c>
      <c r="L242" s="8" t="n">
        <v>117.074</v>
      </c>
      <c r="M242" s="9" t="n">
        <v>89.56282383419689</v>
      </c>
      <c r="N242" s="8" t="n">
        <v>135.99813</v>
      </c>
      <c r="O242" s="10" t="inlineStr">
        <is>
          <t>淨利 -$42.8M
經常 -$41.2M
一次: 無重大</t>
        </is>
      </c>
      <c r="P242" s="10" t="inlineStr">
        <is>
          <t>淨利 -$96.4M
經常 -$46.8M
一次: -$28.3M（營收 26%）</t>
        </is>
      </c>
      <c r="Q242" s="10" t="inlineStr">
        <is>
          <t>淨利 -$78.0M
經常 -$69.7M
一次: -$1.6M（營收 2%）</t>
        </is>
      </c>
      <c r="R242" s="10" t="inlineStr">
        <is>
          <t>淨利 -$41.5M
經常 -$22.1M
一次: 無重大</t>
        </is>
      </c>
      <c r="S242" s="11" t="n">
        <v>-0.08500000000000001</v>
      </c>
      <c r="T242" s="9" t="n">
        <v>-18.85901224866324</v>
      </c>
      <c r="U242" s="9" t="n">
        <v>-35.42631156362643</v>
      </c>
      <c r="V242" s="9" t="n">
        <v>27.79780309889471</v>
      </c>
      <c r="W242" s="10" t="inlineStr">
        <is>
          <t>無重大</t>
        </is>
      </c>
      <c r="X242" s="10" t="inlineStr">
        <is>
          <t>四季皆虧（收窄）：-41 → -47 → -70 → -22（百萬）</t>
        </is>
      </c>
      <c r="Y242" s="10" t="inlineStr">
        <is>
          <t>仍虧損，但營運虧損較 Q-3 收窄</t>
        </is>
      </c>
      <c r="Z242" s="14" t="inlineStr">
        <is>
          <t>C</t>
        </is>
      </c>
      <c r="AA242" s="7" t="inlineStr">
        <is>
          <t>2026-06-30 / 2026-11-04</t>
        </is>
      </c>
    </row>
    <row r="243" ht="46" customHeight="1">
      <c r="A243" s="5" t="n">
        <v>242</v>
      </c>
      <c r="B243" s="6" t="inlineStr">
        <is>
          <t>OUST</t>
        </is>
      </c>
      <c r="C243" s="7" t="inlineStr">
        <is>
          <t>Ouster, Inc.</t>
        </is>
      </c>
      <c r="D243" s="7" t="inlineStr">
        <is>
          <t>Industrials</t>
        </is>
      </c>
      <c r="E243" s="7" t="inlineStr">
        <is>
          <t>Electronic Components</t>
        </is>
      </c>
      <c r="F243" s="8" t="n">
        <v>2.627052291573049</v>
      </c>
      <c r="G243" s="5" t="inlineStr">
        <is>
          <t>USD</t>
        </is>
      </c>
      <c r="H243" s="7" t="inlineStr">
        <is>
          <t>2025-09-30 / 2025-12-31 / 2026-03-31 / 2026-06-30</t>
        </is>
      </c>
      <c r="I243" s="8" t="n">
        <v>39.525</v>
      </c>
      <c r="J243" s="8" t="n">
        <v>62.178</v>
      </c>
      <c r="K243" s="8" t="n">
        <v>48.578</v>
      </c>
      <c r="L243" s="8" t="n">
        <v>54.626</v>
      </c>
      <c r="M243" s="9" t="n">
        <v>55.8560871922166</v>
      </c>
      <c r="N243" s="8" t="n">
        <v>62.03333</v>
      </c>
      <c r="O243" s="10" t="inlineStr">
        <is>
          <t>淨利 -$21.7M
經常 -$24.3M
一次: 無重大</t>
        </is>
      </c>
      <c r="P243" s="10" t="inlineStr">
        <is>
          <t>淨利 +$4.0M
經常 +$0.9M
一次: 無重大</t>
        </is>
      </c>
      <c r="Q243" s="10" t="inlineStr">
        <is>
          <t>淨利 -$17.5M
經常 -$19.2M
一次: 無重大</t>
        </is>
      </c>
      <c r="R243" s="10" t="inlineStr">
        <is>
          <t>淨利 -$18.1M
經常 -$20.0M
一次: 無重大</t>
        </is>
      </c>
      <c r="S243" s="11" t="n">
        <v>-0.065</v>
      </c>
      <c r="T243" s="9" t="n">
        <v>-36.69498041225791</v>
      </c>
      <c r="U243" s="9" t="n">
        <v>-33.16003368359389</v>
      </c>
      <c r="V243" s="9" t="n">
        <v>48.85036429539048</v>
      </c>
      <c r="W243" s="10" t="inlineStr">
        <is>
          <t>無重大</t>
        </is>
      </c>
      <c r="X243" s="10" t="inlineStr">
        <is>
          <t>反覆：-24 → +1 → -19 → -20（百萬）</t>
        </is>
      </c>
      <c r="Y243" s="10" t="inlineStr">
        <is>
          <t>仍虧損，但營運虧損較 Q-3 收窄</t>
        </is>
      </c>
      <c r="Z243" s="14" t="inlineStr">
        <is>
          <t>C</t>
        </is>
      </c>
      <c r="AA243" s="7" t="inlineStr">
        <is>
          <t>2026-06-30 / 2026-11-03</t>
        </is>
      </c>
    </row>
    <row r="244" ht="46" customHeight="1">
      <c r="A244" s="5" t="n">
        <v>243</v>
      </c>
      <c r="B244" s="6" t="inlineStr">
        <is>
          <t>AI</t>
        </is>
      </c>
      <c r="C244" s="7" t="inlineStr">
        <is>
          <t>C3.ai, Inc.</t>
        </is>
      </c>
      <c r="D244" s="7" t="inlineStr">
        <is>
          <t>Technology</t>
        </is>
      </c>
      <c r="E244" s="7" t="inlineStr">
        <is>
          <t>Software - Infrastructure</t>
        </is>
      </c>
      <c r="F244" s="8" t="n">
        <v>1.674511954662953</v>
      </c>
      <c r="G244" s="5" t="inlineStr">
        <is>
          <t>USD</t>
        </is>
      </c>
      <c r="H244" s="7" t="inlineStr">
        <is>
          <t>2025-07-31 / 2025-10-31 / 2026-01-31 / 2026-04-30</t>
        </is>
      </c>
      <c r="I244" s="8" t="n">
        <v>70.261</v>
      </c>
      <c r="J244" s="8" t="n">
        <v>75.14700000000001</v>
      </c>
      <c r="K244" s="8" t="n">
        <v>53.26</v>
      </c>
      <c r="L244" s="8" t="n">
        <v>51.6</v>
      </c>
      <c r="M244" s="9" t="n">
        <v>-52.53994095085677</v>
      </c>
      <c r="N244" s="8" t="n">
        <v>56.96379</v>
      </c>
      <c r="O244" s="10" t="inlineStr">
        <is>
          <t>淨利 -$116.8M
經常 -$124.8M
一次: 無重大</t>
        </is>
      </c>
      <c r="P244" s="10" t="inlineStr">
        <is>
          <t>淨利 -$104.7M
經常 -$112.1M
一次: 無重大</t>
        </is>
      </c>
      <c r="Q244" s="10" t="inlineStr">
        <is>
          <t>淨利 -$133.4M
經常 -$140.4M
一次: 無重大</t>
        </is>
      </c>
      <c r="R244" s="10" t="inlineStr">
        <is>
          <t>淨利 -$115.6M
經常 -$110.3M
一次: 無重大</t>
        </is>
      </c>
      <c r="S244" s="11" t="n">
        <v>-0.18554</v>
      </c>
      <c r="T244" s="9" t="n">
        <v>-213.8178294573643</v>
      </c>
      <c r="U244" s="9" t="n">
        <v>-223.9709302325581</v>
      </c>
      <c r="V244" s="9" t="n">
        <v>21.9437984496124</v>
      </c>
      <c r="W244" s="10" t="inlineStr">
        <is>
          <t>無重大</t>
        </is>
      </c>
      <c r="X244" s="10" t="inlineStr">
        <is>
          <t>四季皆虧（收窄）：-125 → -112 → -140 → -110（百萬）</t>
        </is>
      </c>
      <c r="Y244" s="10" t="inlineStr">
        <is>
          <t>仍虧損，但營運虧損較 Q-3 收窄</t>
        </is>
      </c>
      <c r="Z244" s="14" t="inlineStr">
        <is>
          <t>C</t>
        </is>
      </c>
      <c r="AA244" s="7" t="inlineStr">
        <is>
          <t>2026-04-30 / 2026-09-02</t>
        </is>
      </c>
    </row>
    <row r="245" ht="46" customHeight="1">
      <c r="A245" s="5" t="n">
        <v>244</v>
      </c>
      <c r="B245" s="6" t="inlineStr">
        <is>
          <t>ANGO</t>
        </is>
      </c>
      <c r="C245" s="7" t="inlineStr">
        <is>
          <t>AngioDynamics, Inc.</t>
        </is>
      </c>
      <c r="D245" s="7" t="inlineStr">
        <is>
          <t>Health Care</t>
        </is>
      </c>
      <c r="E245" s="7" t="inlineStr">
        <is>
          <t>Medical Instruments &amp; Supplies</t>
        </is>
      </c>
      <c r="F245" s="8" t="n">
        <v>0.62825231316464</v>
      </c>
      <c r="G245" s="5" t="inlineStr">
        <is>
          <t>USD</t>
        </is>
      </c>
      <c r="H245" s="7" t="inlineStr">
        <is>
          <t>2025-08-31 / 2025-11-30 / 2026-02-28 / 2026-05-31</t>
        </is>
      </c>
      <c r="I245" s="8" t="n">
        <v>75.711</v>
      </c>
      <c r="J245" s="8" t="n">
        <v>79.43300000000001</v>
      </c>
      <c r="K245" s="8" t="n">
        <v>78.423</v>
      </c>
      <c r="L245" s="8" t="n">
        <v>86.607</v>
      </c>
      <c r="M245" s="9" t="n">
        <v>8.045360413183955</v>
      </c>
      <c r="N245" s="8" t="n">
        <v>84.075</v>
      </c>
      <c r="O245" s="10" t="inlineStr">
        <is>
          <t>淨利 -$10.9M
經常 -$7.9M
一次: -$2.2M（營收 3%）</t>
        </is>
      </c>
      <c r="P245" s="10" t="inlineStr">
        <is>
          <t>淨利 -$6.3M
經常 -$2.5M
一次: -$3.6M（營收 5%）</t>
        </is>
      </c>
      <c r="Q245" s="10" t="inlineStr">
        <is>
          <t>淨利 -$8.1M
經常 -$6.4M
一次: -$3.9M（營收 5%）</t>
        </is>
      </c>
      <c r="R245" s="10" t="inlineStr">
        <is>
          <t>淨利 -$11.4M
經常 -$5.5M
一次: -$2.8M（營收 3%）</t>
        </is>
      </c>
      <c r="S245" s="11" t="n">
        <v>-0.08333</v>
      </c>
      <c r="T245" s="9" t="n">
        <v>-6.364381631969701</v>
      </c>
      <c r="U245" s="9" t="n">
        <v>-13.16868151535095</v>
      </c>
      <c r="V245" s="9" t="n">
        <v>54.00602722643667</v>
      </c>
      <c r="W245" s="10" t="inlineStr">
        <is>
          <t>-$2.8M・營收 3.2%</t>
        </is>
      </c>
      <c r="X245" s="10" t="inlineStr">
        <is>
          <t>四季皆虧（收窄）：-8 → -2 → -6 → -6（百萬）</t>
        </is>
      </c>
      <c r="Y245" s="10" t="inlineStr">
        <is>
          <t>仍虧損，但營運虧損較 Q-3 收窄</t>
        </is>
      </c>
      <c r="Z245" s="14" t="inlineStr">
        <is>
          <t>C</t>
        </is>
      </c>
      <c r="AA245" s="7" t="inlineStr">
        <is>
          <t>2026-05-31 / 2026-10-01</t>
        </is>
      </c>
    </row>
    <row r="246" ht="46" customHeight="1">
      <c r="A246" s="5" t="n">
        <v>245</v>
      </c>
      <c r="B246" s="6" t="inlineStr">
        <is>
          <t>MRK</t>
        </is>
      </c>
      <c r="C246" s="7" t="inlineStr">
        <is>
          <t>Merck &amp; Co., Inc.</t>
        </is>
      </c>
      <c r="D246" s="7" t="inlineStr">
        <is>
          <t>Health Care</t>
        </is>
      </c>
      <c r="E246" s="7" t="inlineStr">
        <is>
          <t>Drug Manufacturers - General</t>
        </is>
      </c>
      <c r="F246" s="8" t="n">
        <v>370.8899123404401</v>
      </c>
      <c r="G246" s="5" t="inlineStr">
        <is>
          <t>USD</t>
        </is>
      </c>
      <c r="H246" s="7" t="inlineStr">
        <is>
          <t>2025-09-30 / 2025-12-31 / 2026-03-31 / 2026-06-30</t>
        </is>
      </c>
      <c r="I246" s="8" t="n">
        <v>17276</v>
      </c>
      <c r="J246" s="8" t="n">
        <v>16400</v>
      </c>
      <c r="K246" s="8" t="n">
        <v>16286</v>
      </c>
      <c r="L246" s="8" t="n">
        <v>16607</v>
      </c>
      <c r="M246" s="9" t="n">
        <v>5.067695811717066</v>
      </c>
      <c r="N246" s="8" t="n">
        <v>16867.55188</v>
      </c>
      <c r="O246" s="10" t="inlineStr">
        <is>
          <t>淨利 +$5.79B
經常 +$6.55B
一次: +$231.7M（營收 1%）</t>
        </is>
      </c>
      <c r="P246" s="10" t="inlineStr">
        <is>
          <t>淨利 +$2.96B
經常 +$4.07B
一次: -$439.1M（營收 3%）</t>
        </is>
      </c>
      <c r="Q246" s="10" t="inlineStr">
        <is>
          <t>淨利 -$4.24B
經常 -$3.20B
一次: 無重大</t>
        </is>
      </c>
      <c r="R246" s="10" t="inlineStr">
        <is>
          <t>淨利 -$1.33B
經常 -$433.0M
一次: 無重大</t>
        </is>
      </c>
      <c r="S246" s="11" t="n">
        <v>1.95822</v>
      </c>
      <c r="T246" s="9" t="n">
        <v>-2.607334256638767</v>
      </c>
      <c r="U246" s="9" t="n">
        <v>-8.038778828204974</v>
      </c>
      <c r="V246" s="9" t="n">
        <v>73.53525621725778</v>
      </c>
      <c r="W246" s="10" t="inlineStr">
        <is>
          <t>無重大</t>
        </is>
      </c>
      <c r="X246" s="10" t="inlineStr">
        <is>
          <t>由正轉虧：+6,554 → +4,065 → -3,201 → -433（百萬）</t>
        </is>
      </c>
      <c r="Y246" s="10" t="inlineStr">
        <is>
          <t>營運仍虧損且未見收窄</t>
        </is>
      </c>
      <c r="Z246" s="15" t="inlineStr">
        <is>
          <t>D</t>
        </is>
      </c>
      <c r="AA246" s="7" t="inlineStr">
        <is>
          <t>2026-06-30 / 2026-10-29</t>
        </is>
      </c>
    </row>
    <row r="247" ht="46" customHeight="1">
      <c r="A247" s="5" t="n">
        <v>246</v>
      </c>
      <c r="B247" s="6" t="inlineStr">
        <is>
          <t>PANW</t>
        </is>
      </c>
      <c r="C247" s="7" t="inlineStr">
        <is>
          <t>Palo Alto Networks, Inc.</t>
        </is>
      </c>
      <c r="D247" s="7" t="inlineStr">
        <is>
          <t>Technology</t>
        </is>
      </c>
      <c r="E247" s="7" t="inlineStr">
        <is>
          <t>Software - Infrastructure</t>
        </is>
      </c>
      <c r="F247" s="8" t="n">
        <v>271.6069</v>
      </c>
      <c r="G247" s="5" t="inlineStr">
        <is>
          <t>USD</t>
        </is>
      </c>
      <c r="H247" s="7" t="inlineStr">
        <is>
          <t>2025-07-31 / 2025-10-31 / 2026-01-31 / 2026-04-30</t>
        </is>
      </c>
      <c r="I247" s="8" t="n">
        <v>2536.3</v>
      </c>
      <c r="J247" s="8" t="n">
        <v>2474</v>
      </c>
      <c r="K247" s="8" t="n">
        <v>2594</v>
      </c>
      <c r="L247" s="8" t="n">
        <v>3002</v>
      </c>
      <c r="M247" s="9" t="n">
        <v>31.14897335080822</v>
      </c>
      <c r="N247" s="8" t="n">
        <v>3418.71605</v>
      </c>
      <c r="O247" s="10" t="inlineStr">
        <is>
          <t>淨利 +$253.8M
經常 +$497.2M
一次: 無重大</t>
        </is>
      </c>
      <c r="P247" s="10" t="inlineStr">
        <is>
          <t>淨利 +$334.0M
經常 +$309.0M
一次: 無重大</t>
        </is>
      </c>
      <c r="Q247" s="10" t="inlineStr">
        <is>
          <t>淨利 +$432.0M
經常 +$397.0M
一次: 無重大</t>
        </is>
      </c>
      <c r="R247" s="10" t="inlineStr">
        <is>
          <t>淨利 -$177.0M
經常 -$183.0M
一次: 無重大</t>
        </is>
      </c>
      <c r="S247" s="11" t="n">
        <v>1.00758</v>
      </c>
      <c r="T247" s="9" t="n">
        <v>-6.095936042638241</v>
      </c>
      <c r="U247" s="9" t="n">
        <v>-5.896069287141906</v>
      </c>
      <c r="V247" s="9" t="n">
        <v>67.55496335776149</v>
      </c>
      <c r="W247" s="10" t="inlineStr">
        <is>
          <t>無重大</t>
        </is>
      </c>
      <c r="X247" s="10" t="inlineStr">
        <is>
          <t>由正轉虧：+497 → +309 → +397 → -183（百萬）</t>
        </is>
      </c>
      <c r="Y247" s="10" t="inlineStr">
        <is>
          <t>營運仍虧損且未見收窄</t>
        </is>
      </c>
      <c r="Z247" s="15" t="inlineStr">
        <is>
          <t>D</t>
        </is>
      </c>
      <c r="AA247" s="7" t="inlineStr">
        <is>
          <t>2026-04-30 / 2026-11-19</t>
        </is>
      </c>
    </row>
    <row r="248" ht="46" customHeight="1">
      <c r="A248" s="5" t="n">
        <v>247</v>
      </c>
      <c r="B248" s="6" t="inlineStr">
        <is>
          <t>NET</t>
        </is>
      </c>
      <c r="C248" s="7" t="inlineStr">
        <is>
          <t>Cloudflare, Inc.</t>
        </is>
      </c>
      <c r="D248" s="7" t="inlineStr">
        <is>
          <t>Technology</t>
        </is>
      </c>
      <c r="E248" s="7" t="inlineStr">
        <is>
          <t>Software - Infrastructure</t>
        </is>
      </c>
      <c r="F248" s="8" t="n">
        <v>99.31775410772569</v>
      </c>
      <c r="G248" s="5" t="inlineStr">
        <is>
          <t>USD</t>
        </is>
      </c>
      <c r="H248" s="7" t="inlineStr">
        <is>
          <t>2025-09-30 / 2025-12-31 / 2026-03-31 / 2026-06-30</t>
        </is>
      </c>
      <c r="I248" s="8" t="n">
        <v>562.027</v>
      </c>
      <c r="J248" s="8" t="n">
        <v>614.5069999999999</v>
      </c>
      <c r="K248" s="8" t="n">
        <v>639.755</v>
      </c>
      <c r="L248" s="8" t="n">
        <v>696.061</v>
      </c>
      <c r="M248" s="9" t="n">
        <v>35.86555953747297</v>
      </c>
      <c r="N248" s="8" t="n">
        <v>798.03368</v>
      </c>
      <c r="O248" s="10" t="inlineStr">
        <is>
          <t>淨利 -$1.3M
經常 -$37.5M
一次: 無重大</t>
        </is>
      </c>
      <c r="P248" s="10" t="inlineStr">
        <is>
          <t>淨利 -$12.1M
經常 -$49.2M
一次: 無重大</t>
        </is>
      </c>
      <c r="Q248" s="10" t="inlineStr">
        <is>
          <t>淨利 -$22.9M
經常 -$62.0M
一次: 無重大</t>
        </is>
      </c>
      <c r="R248" s="10" t="inlineStr">
        <is>
          <t>淨利 -$170.0M
經常 -$55.0M
一次: -$90.4M（營收 13%）</t>
        </is>
      </c>
      <c r="S248" s="11" t="n">
        <v>0.37852</v>
      </c>
      <c r="T248" s="9" t="n">
        <v>-7.902037321441655</v>
      </c>
      <c r="U248" s="9" t="n">
        <v>-24.42041717608083</v>
      </c>
      <c r="V248" s="9" t="n">
        <v>71.76339430021218</v>
      </c>
      <c r="W248" s="10" t="inlineStr">
        <is>
          <t>-$90.4M・營收 13.0%</t>
        </is>
      </c>
      <c r="X248" s="10" t="inlineStr">
        <is>
          <t>四季皆虧（擴大）：-37 → -49 → -62 → -55（百萬）</t>
        </is>
      </c>
      <c r="Y248" s="10" t="inlineStr">
        <is>
          <t>營運仍虧損且未見收窄</t>
        </is>
      </c>
      <c r="Z248" s="15" t="inlineStr">
        <is>
          <t>D</t>
        </is>
      </c>
      <c r="AA248" s="7" t="inlineStr">
        <is>
          <t>2026-06-30 / 2026-10-29</t>
        </is>
      </c>
    </row>
    <row r="249" ht="46" customHeight="1">
      <c r="A249" s="5" t="n">
        <v>248</v>
      </c>
      <c r="B249" s="6" t="inlineStr">
        <is>
          <t>NBIS</t>
        </is>
      </c>
      <c r="C249" s="7" t="inlineStr">
        <is>
          <t>Nebius Group N.V.</t>
        </is>
      </c>
      <c r="D249" s="7" t="inlineStr">
        <is>
          <t>Technology</t>
        </is>
      </c>
      <c r="E249" s="7" t="inlineStr">
        <is>
          <t>Internet Content &amp; Information</t>
        </is>
      </c>
      <c r="F249" s="8" t="n">
        <v>61.5453028031266</v>
      </c>
      <c r="G249" s="5" t="inlineStr">
        <is>
          <t>USD</t>
        </is>
      </c>
      <c r="H249" s="7" t="inlineStr">
        <is>
          <t>2025-09-30 / 2025-12-31 / 2026-03-31 / 2026-06-30</t>
        </is>
      </c>
      <c r="I249" s="8" t="n">
        <v>146.1</v>
      </c>
      <c r="J249" s="8" t="n">
        <v>227.7</v>
      </c>
      <c r="K249" s="8" t="n">
        <v>399</v>
      </c>
      <c r="L249" s="8" t="n">
        <v>582.3</v>
      </c>
      <c r="M249" s="9" t="n">
        <v>454.0437678401522</v>
      </c>
      <c r="N249" s="8" t="n">
        <v>1446.52719</v>
      </c>
      <c r="O249" s="10" t="inlineStr">
        <is>
          <t>淨利 -$119.6M
經常 -$130.2M
一次: +$26.1M（營收 18%）</t>
        </is>
      </c>
      <c r="P249" s="10" t="inlineStr">
        <is>
          <t>淨利 -$268.8M
經常 -$250.0M
一次: +$19.8M（營收 9%）</t>
        </is>
      </c>
      <c r="Q249" s="10" t="inlineStr">
        <is>
          <t>淨利 +$621.2M
經常 -$128.0M
一次: +$468.4M（營收 117%）</t>
        </is>
      </c>
      <c r="R249" s="10" t="inlineStr">
        <is>
          <t>淨利 -$190.4M
經常 -$175.9M
一次: +$82.5M（營收 14%）</t>
        </is>
      </c>
      <c r="S249" s="11" t="n">
        <v>-2.03</v>
      </c>
      <c r="T249" s="9" t="n">
        <v>-30.207796668384</v>
      </c>
      <c r="U249" s="9" t="n">
        <v>-32.69792203331616</v>
      </c>
      <c r="V249" s="9" t="n">
        <v>77.0565000858664</v>
      </c>
      <c r="W249" s="10" t="inlineStr">
        <is>
          <t>+$82.5M・營收 14.2%</t>
        </is>
      </c>
      <c r="X249" s="10" t="inlineStr">
        <is>
          <t>四季皆虧（擴大）：-130 → -250 → -128 → -176（百萬）</t>
        </is>
      </c>
      <c r="Y249" s="10" t="inlineStr">
        <is>
          <t>營運仍虧損且未見收窄</t>
        </is>
      </c>
      <c r="Z249" s="15" t="inlineStr">
        <is>
          <t>D</t>
        </is>
      </c>
      <c r="AA249" s="7" t="inlineStr">
        <is>
          <t>2026-06-30 / 2026-11-10</t>
        </is>
      </c>
    </row>
    <row r="250" ht="46" customHeight="1">
      <c r="A250" s="5" t="n">
        <v>249</v>
      </c>
      <c r="B250" s="6" t="inlineStr">
        <is>
          <t>MRNA</t>
        </is>
      </c>
      <c r="C250" s="7" t="inlineStr">
        <is>
          <t>Moderna, Inc.</t>
        </is>
      </c>
      <c r="D250" s="7" t="inlineStr">
        <is>
          <t>Health Care</t>
        </is>
      </c>
      <c r="E250" s="7" t="inlineStr">
        <is>
          <t>Biotechnology</t>
        </is>
      </c>
      <c r="F250" s="8" t="n">
        <v>58.10878364363073</v>
      </c>
      <c r="G250" s="5" t="inlineStr">
        <is>
          <t>USD</t>
        </is>
      </c>
      <c r="H250" s="7" t="inlineStr">
        <is>
          <t>2025-09-30 / 2025-12-31 / 2026-03-31 / 2026-06-30</t>
        </is>
      </c>
      <c r="I250" s="8" t="n">
        <v>1002</v>
      </c>
      <c r="J250" s="8" t="n">
        <v>676</v>
      </c>
      <c r="K250" s="8" t="n">
        <v>389</v>
      </c>
      <c r="L250" s="8" t="n">
        <v>143</v>
      </c>
      <c r="M250" s="9" t="n">
        <v>4.379562043795615</v>
      </c>
      <c r="N250" s="8" t="n">
        <v>667.79283</v>
      </c>
      <c r="O250" s="10" t="inlineStr">
        <is>
          <t>淨利 -$200.0M
經常 -$260.0M
一次: 無重大</t>
        </is>
      </c>
      <c r="P250" s="10" t="inlineStr">
        <is>
          <t>淨利 -$826.0M
經常 -$857.0M
一次: 無重大</t>
        </is>
      </c>
      <c r="Q250" s="10" t="inlineStr">
        <is>
          <t>淨利 -$1.34B
經常 -$1.39B
一次: 無重大</t>
        </is>
      </c>
      <c r="R250" s="10" t="inlineStr">
        <is>
          <t>淨利 -$782.0M
經常 -$815.0M
一次: 無重大</t>
        </is>
      </c>
      <c r="S250" s="11" t="n">
        <v>-1.74156</v>
      </c>
      <c r="T250" s="9" t="n">
        <v>-569.9300699300699</v>
      </c>
      <c r="U250" s="9" t="n">
        <v>-546.8531468531469</v>
      </c>
      <c r="V250" s="9" t="n">
        <v>34.96503496503497</v>
      </c>
      <c r="W250" s="10" t="inlineStr">
        <is>
          <t>無重大</t>
        </is>
      </c>
      <c r="X250" s="10" t="inlineStr">
        <is>
          <t>四季皆虧（擴大）：-260 → -857 → -1,388 → -815（百萬）</t>
        </is>
      </c>
      <c r="Y250" s="10" t="inlineStr">
        <is>
          <t>營運仍虧損且未見收窄</t>
        </is>
      </c>
      <c r="Z250" s="15" t="inlineStr">
        <is>
          <t>D</t>
        </is>
      </c>
      <c r="AA250" s="7" t="inlineStr">
        <is>
          <t>2026-06-30 / 2026-11-05</t>
        </is>
      </c>
    </row>
    <row r="251" ht="46" customHeight="1">
      <c r="A251" s="5" t="n">
        <v>250</v>
      </c>
      <c r="B251" s="6" t="inlineStr">
        <is>
          <t>CBRS</t>
        </is>
      </c>
      <c r="C251" s="7" t="inlineStr">
        <is>
          <t>Cerebras Systems Inc.</t>
        </is>
      </c>
      <c r="D251" s="7" t="inlineStr">
        <is>
          <t>Technology</t>
        </is>
      </c>
      <c r="E251" s="7" t="inlineStr">
        <is>
          <t>Semiconductors</t>
        </is>
      </c>
      <c r="F251" s="8" t="n">
        <v>49.90032681196235</v>
      </c>
      <c r="G251" s="5" t="inlineStr">
        <is>
          <t>USD</t>
        </is>
      </c>
      <c r="H251" s="7" t="inlineStr">
        <is>
          <t>2025-03-31 / 2025-06-30 / 2026-03-31 / 2026-06-30</t>
        </is>
      </c>
      <c r="I251" s="8" t="n">
        <v>99.512</v>
      </c>
      <c r="J251" s="8" t="n">
        <v>103.322</v>
      </c>
      <c r="K251" s="8" t="n">
        <v>193.406</v>
      </c>
      <c r="L251" s="8" t="n">
        <v>180.11</v>
      </c>
      <c r="M251" s="9" t="n"/>
      <c r="N251" s="8" t="n">
        <v>275.08552</v>
      </c>
      <c r="O251" s="10" t="inlineStr">
        <is>
          <t>淨利 -$23.9M
經常 -$28.5M
一次: 無重大</t>
        </is>
      </c>
      <c r="P251" s="10" t="inlineStr">
        <is>
          <t>淨利 +$240.6M
經常 -$57.2M
一次: +$361.4M（營收 350%）</t>
        </is>
      </c>
      <c r="Q251" s="10" t="inlineStr">
        <is>
          <t>淨利 -$14.0M
經常 -$15.0M
一次: 無重大</t>
        </is>
      </c>
      <c r="R251" s="10" t="inlineStr">
        <is>
          <t>淨利 -$901.1M
經常 -$477.2M
一次: 無重大</t>
        </is>
      </c>
      <c r="S251" s="11" t="n">
        <v>-0.22405</v>
      </c>
      <c r="T251" s="9" t="n">
        <v>-264.9675198489812</v>
      </c>
      <c r="U251" s="9" t="n">
        <v>-500.2809394259064</v>
      </c>
      <c r="V251" s="9" t="n">
        <v>14.19077230581311</v>
      </c>
      <c r="W251" s="10" t="inlineStr">
        <is>
          <t>無重大</t>
        </is>
      </c>
      <c r="X251" s="10" t="inlineStr">
        <is>
          <t>四季皆虧（擴大）：-28 → -57 → -15 → -477（百萬）</t>
        </is>
      </c>
      <c r="Y251" s="10" t="inlineStr">
        <is>
          <t>營運仍虧損且未見收窄</t>
        </is>
      </c>
      <c r="Z251" s="15" t="inlineStr">
        <is>
          <t>D</t>
        </is>
      </c>
      <c r="AA251" s="7" t="inlineStr">
        <is>
          <t>2026-06-30 / 2026-11-10</t>
        </is>
      </c>
    </row>
    <row r="252" ht="46" customHeight="1">
      <c r="A252" s="5" t="n">
        <v>251</v>
      </c>
      <c r="B252" s="6" t="inlineStr">
        <is>
          <t>CRWV</t>
        </is>
      </c>
      <c r="C252" s="7" t="inlineStr">
        <is>
          <t>CoreWeave, Inc.</t>
        </is>
      </c>
      <c r="D252" s="7" t="inlineStr">
        <is>
          <t>Technology</t>
        </is>
      </c>
      <c r="E252" s="7" t="inlineStr">
        <is>
          <t>Software - Infrastructure</t>
        </is>
      </c>
      <c r="F252" s="8" t="n">
        <v>49.28531075482277</v>
      </c>
      <c r="G252" s="5" t="inlineStr">
        <is>
          <t>USD</t>
        </is>
      </c>
      <c r="H252" s="7" t="inlineStr">
        <is>
          <t>2025-09-30 / 2025-12-31 / 2026-03-31 / 2026-06-30</t>
        </is>
      </c>
      <c r="I252" s="8" t="n">
        <v>1364.676</v>
      </c>
      <c r="J252" s="8" t="n">
        <v>1571.904</v>
      </c>
      <c r="K252" s="8" t="n">
        <v>2078</v>
      </c>
      <c r="L252" s="8" t="n">
        <v>2575</v>
      </c>
      <c r="M252" s="9" t="n">
        <v>112.4587458745875</v>
      </c>
      <c r="N252" s="8" t="n">
        <v>4710.88111</v>
      </c>
      <c r="O252" s="10" t="inlineStr">
        <is>
          <t>淨利 -$110.1M
經常 +$51.9M
一次: 無重大</t>
        </is>
      </c>
      <c r="P252" s="10" t="inlineStr">
        <is>
          <t>淨利 -$452.0M
經常 -$89.6M
一次: 無重大</t>
        </is>
      </c>
      <c r="Q252" s="10" t="inlineStr">
        <is>
          <t>淨利 -$740.0M
經常 -$144.0M
一次: 無重大</t>
        </is>
      </c>
      <c r="R252" s="10" t="inlineStr">
        <is>
          <t>淨利 -$626.0M
經常 -$49.0M
一次: 無重大</t>
        </is>
      </c>
      <c r="S252" s="11" t="n">
        <v>-1.03806</v>
      </c>
      <c r="T252" s="9" t="n">
        <v>-1.902912621359223</v>
      </c>
      <c r="U252" s="9" t="n">
        <v>-24.31067961165049</v>
      </c>
      <c r="V252" s="9" t="n">
        <v>65.86407766990291</v>
      </c>
      <c r="W252" s="10" t="inlineStr">
        <is>
          <t>無重大</t>
        </is>
      </c>
      <c r="X252" s="10" t="inlineStr">
        <is>
          <t>由正轉虧：+52 → -90 → -144 → -49（百萬）</t>
        </is>
      </c>
      <c r="Y252" s="10" t="inlineStr">
        <is>
          <t>營運仍虧損且未見收窄</t>
        </is>
      </c>
      <c r="Z252" s="15" t="inlineStr">
        <is>
          <t>D</t>
        </is>
      </c>
      <c r="AA252" s="7" t="inlineStr">
        <is>
          <t>2026-06-30 / 2026-11-11</t>
        </is>
      </c>
    </row>
    <row r="253" ht="46" customHeight="1">
      <c r="A253" s="5" t="n">
        <v>252</v>
      </c>
      <c r="B253" s="6" t="inlineStr">
        <is>
          <t>COIN</t>
        </is>
      </c>
      <c r="C253" s="7" t="inlineStr">
        <is>
          <t>Coinbase Global, Inc.</t>
        </is>
      </c>
      <c r="D253" s="7" t="inlineStr">
        <is>
          <t>Finance</t>
        </is>
      </c>
      <c r="E253" s="7" t="inlineStr">
        <is>
          <t>Financial Data &amp; Stock Exchanges</t>
        </is>
      </c>
      <c r="F253" s="8" t="n">
        <v>48.71484946266548</v>
      </c>
      <c r="G253" s="5" t="inlineStr">
        <is>
          <t>USD</t>
        </is>
      </c>
      <c r="H253" s="7" t="inlineStr">
        <is>
          <t>2025-09-30 / 2025-12-31 / 2026-03-31 / 2026-06-30</t>
        </is>
      </c>
      <c r="I253" s="8" t="n">
        <v>1868.693</v>
      </c>
      <c r="J253" s="8" t="n">
        <v>1781.129</v>
      </c>
      <c r="K253" s="8" t="n">
        <v>1412.982</v>
      </c>
      <c r="L253" s="8" t="n">
        <v>1220.068</v>
      </c>
      <c r="M253" s="9" t="n">
        <v>-18.51045412527852</v>
      </c>
      <c r="N253" s="8" t="n">
        <v>1336.36916</v>
      </c>
      <c r="O253" s="10" t="inlineStr">
        <is>
          <t>淨利 +$432.6M
經常 +$444.8M
一次: +$51.1M（營收 3%）</t>
        </is>
      </c>
      <c r="P253" s="10" t="inlineStr">
        <is>
          <t>淨利 -$666.7M
經常 +$304.5M
一次: -$860.3M（營收 48%）</t>
        </is>
      </c>
      <c r="Q253" s="10" t="inlineStr">
        <is>
          <t>淨利 -$394.1M
經常 +$13.7M
一次: -$399.2M（營收 28%）</t>
        </is>
      </c>
      <c r="R253" s="10" t="inlineStr">
        <is>
          <t>淨利 -$359.5M
經常 -$29.4M
一次: -$319.8M（營收 26%）</t>
        </is>
      </c>
      <c r="S253" s="11" t="n">
        <v>0.20226</v>
      </c>
      <c r="T253" s="9" t="n">
        <v>-2.406505211184951</v>
      </c>
      <c r="U253" s="9" t="n">
        <v>-29.46294796683463</v>
      </c>
      <c r="V253" s="9" t="n">
        <v>67.91547684227437</v>
      </c>
      <c r="W253" s="10" t="inlineStr">
        <is>
          <t>-$319.8M・營收 26.2%</t>
        </is>
      </c>
      <c r="X253" s="10" t="inlineStr">
        <is>
          <t>由正轉虧：+445 → +305 → +14 → -29（百萬）</t>
        </is>
      </c>
      <c r="Y253" s="10" t="inlineStr">
        <is>
          <t>營運仍虧損且未見收窄</t>
        </is>
      </c>
      <c r="Z253" s="15" t="inlineStr">
        <is>
          <t>D</t>
        </is>
      </c>
      <c r="AA253" s="7" t="inlineStr">
        <is>
          <t>2026-06-30 / 2026-10-29</t>
        </is>
      </c>
    </row>
    <row r="254" ht="46" customHeight="1">
      <c r="A254" s="5" t="n">
        <v>253</v>
      </c>
      <c r="B254" s="6" t="inlineStr">
        <is>
          <t>RVMD</t>
        </is>
      </c>
      <c r="C254" s="7" t="inlineStr">
        <is>
          <t>Revolution Medicines, Inc.</t>
        </is>
      </c>
      <c r="D254" s="7" t="inlineStr">
        <is>
          <t>Health Care</t>
        </is>
      </c>
      <c r="E254" s="7" t="inlineStr">
        <is>
          <t>Biotechnology</t>
        </is>
      </c>
      <c r="F254" s="8" t="n">
        <v>45.0149345079567</v>
      </c>
      <c r="G254" s="5" t="inlineStr">
        <is>
          <t>USD</t>
        </is>
      </c>
      <c r="H254" s="7" t="inlineStr">
        <is>
          <t>2025-09-30 / 2025-12-31 / 2026-03-31 / 2026-06-30</t>
        </is>
      </c>
      <c r="I254" s="8" t="n">
        <v>0</v>
      </c>
      <c r="J254" s="8" t="n">
        <v>0</v>
      </c>
      <c r="K254" s="8" t="n">
        <v>0</v>
      </c>
      <c r="L254" s="8" t="n">
        <v>0</v>
      </c>
      <c r="M254" s="9" t="n"/>
      <c r="N254" s="8" t="n">
        <v>143.59315</v>
      </c>
      <c r="O254" s="10" t="inlineStr">
        <is>
          <t>淨利 -$305.2M
經常 -$315.3M
一次: -$0.6M</t>
        </is>
      </c>
      <c r="P254" s="10" t="inlineStr">
        <is>
          <t>淨利 -$364.9M
經常 -$361.6M
一次: -$12.6M</t>
        </is>
      </c>
      <c r="Q254" s="10" t="inlineStr">
        <is>
          <t>淨利 -$453.8M
經常 -$445.2M
一次: -$15.8M</t>
        </is>
      </c>
      <c r="R254" s="10" t="inlineStr">
        <is>
          <t>淨利 -$644.4M
經常 -$505.1M
一次: -$151.0M</t>
        </is>
      </c>
      <c r="S254" s="11" t="n">
        <v>-2.06961</v>
      </c>
      <c r="T254" s="9" t="n"/>
      <c r="U254" s="9" t="n"/>
      <c r="V254" s="9" t="n"/>
      <c r="W254" s="10" t="inlineStr">
        <is>
          <t>無重大</t>
        </is>
      </c>
      <c r="X254" s="10" t="inlineStr">
        <is>
          <t>四季皆虧（擴大）：-315 → -362 → -445 → -505（百萬）</t>
        </is>
      </c>
      <c r="Y254" s="10" t="inlineStr">
        <is>
          <t>營運仍虧損且未見收窄</t>
        </is>
      </c>
      <c r="Z254" s="15" t="inlineStr">
        <is>
          <t>D</t>
        </is>
      </c>
      <c r="AA254" s="7" t="inlineStr">
        <is>
          <t>2026-06-30 / 2026-11-04</t>
        </is>
      </c>
    </row>
    <row r="255" ht="46" customHeight="1">
      <c r="A255" s="5" t="n">
        <v>254</v>
      </c>
      <c r="B255" s="6" t="inlineStr">
        <is>
          <t>IREN</t>
        </is>
      </c>
      <c r="C255" s="7" t="inlineStr">
        <is>
          <t>IREN Limited</t>
        </is>
      </c>
      <c r="D255" s="7" t="inlineStr">
        <is>
          <t>Finance</t>
        </is>
      </c>
      <c r="E255" s="7" t="inlineStr">
        <is>
          <t>Capital Markets</t>
        </is>
      </c>
      <c r="F255" s="8" t="n">
        <v>17.60654039234811</v>
      </c>
      <c r="G255" s="5" t="inlineStr">
        <is>
          <t>USD</t>
        </is>
      </c>
      <c r="H255" s="7" t="inlineStr">
        <is>
          <t>2025-09-30 / 2025-12-31 / 2026-03-31 / 2026-06-30</t>
        </is>
      </c>
      <c r="I255" s="8" t="n">
        <v>240.295</v>
      </c>
      <c r="J255" s="8" t="n">
        <v>184.692</v>
      </c>
      <c r="K255" s="8" t="n">
        <v>144.795</v>
      </c>
      <c r="L255" s="8" t="n">
        <v>137.225</v>
      </c>
      <c r="M255" s="9" t="n">
        <v>-26.73205475941312</v>
      </c>
      <c r="N255" s="8" t="n">
        <v>402.96036</v>
      </c>
      <c r="O255" s="10" t="inlineStr">
        <is>
          <t>淨利 +$384.6M
經常 -$60.1M
一次: +$426.5M（營收 178%）</t>
        </is>
      </c>
      <c r="P255" s="10" t="inlineStr">
        <is>
          <t>淨利 -$155.4M
經常 -$84.7M
一次: -$180.9M（營收 98%）</t>
        </is>
      </c>
      <c r="Q255" s="10" t="inlineStr">
        <is>
          <t>淨利 -$247.8M
經常 -$93.3M
一次: -$163.6M（營收 113%）</t>
        </is>
      </c>
      <c r="R255" s="10" t="inlineStr">
        <is>
          <t>淨利 -$684.0M
經常 -$140.6M
一次: -$556.3M（營收 405%）</t>
        </is>
      </c>
      <c r="S255" s="11" t="n">
        <v>-0.48</v>
      </c>
      <c r="T255" s="9" t="n">
        <v>-102.4703953361268</v>
      </c>
      <c r="U255" s="9" t="n">
        <v>-498.4507196210603</v>
      </c>
      <c r="V255" s="9" t="n">
        <v>62.25614866095827</v>
      </c>
      <c r="W255" s="10" t="inlineStr">
        <is>
          <t>-$556.3M・營收 405.4%</t>
        </is>
      </c>
      <c r="X255" s="10" t="inlineStr">
        <is>
          <t>四季皆虧（擴大）：-60 → -85 → -93 → -141（百萬）</t>
        </is>
      </c>
      <c r="Y255" s="10" t="inlineStr">
        <is>
          <t>營運仍虧損且未見收窄</t>
        </is>
      </c>
      <c r="Z255" s="15" t="inlineStr">
        <is>
          <t>D</t>
        </is>
      </c>
      <c r="AA255" s="7" t="inlineStr">
        <is>
          <t>2026-06-30 / 2026-11-05</t>
        </is>
      </c>
    </row>
    <row r="256" ht="46" customHeight="1">
      <c r="A256" s="5" t="n">
        <v>255</v>
      </c>
      <c r="B256" s="6" t="inlineStr">
        <is>
          <t>ARWR</t>
        </is>
      </c>
      <c r="C256" s="7" t="inlineStr">
        <is>
          <t>Arrowhead Pharmaceuticals, Inc.</t>
        </is>
      </c>
      <c r="D256" s="7" t="inlineStr">
        <is>
          <t>Health Care</t>
        </is>
      </c>
      <c r="E256" s="7" t="inlineStr">
        <is>
          <t>Biotechnology</t>
        </is>
      </c>
      <c r="F256" s="8" t="n">
        <v>12.19591068052828</v>
      </c>
      <c r="G256" s="5" t="inlineStr">
        <is>
          <t>USD</t>
        </is>
      </c>
      <c r="H256" s="7" t="inlineStr">
        <is>
          <t>2025-09-30 / 2025-12-31 / 2026-03-31 / 2026-06-30</t>
        </is>
      </c>
      <c r="I256" s="8" t="n">
        <v>256.472</v>
      </c>
      <c r="J256" s="8" t="n">
        <v>264.033</v>
      </c>
      <c r="K256" s="8" t="n">
        <v>73.73699999999999</v>
      </c>
      <c r="L256" s="8" t="n">
        <v>75.253</v>
      </c>
      <c r="M256" s="9" t="n">
        <v>171.0159541902258</v>
      </c>
      <c r="N256" s="8" t="n">
        <v>40.85</v>
      </c>
      <c r="O256" s="10" t="inlineStr">
        <is>
          <t>淨利 -$23.8M
經常 +$44.1M
一次: 無重大</t>
        </is>
      </c>
      <c r="P256" s="10" t="inlineStr">
        <is>
          <t>淨利 +$30.8M
經常 +$40.8M
一次: 無重大</t>
        </is>
      </c>
      <c r="Q256" s="10" t="inlineStr">
        <is>
          <t>淨利 -$132.7M
經常 -$141.3M
一次: +$11.4M（營收 15%）</t>
        </is>
      </c>
      <c r="R256" s="10" t="inlineStr">
        <is>
          <t>淨利 -$194.3M
經常 -$170.1M
一次: 無重大</t>
        </is>
      </c>
      <c r="S256" s="11" t="n">
        <v>-1.402</v>
      </c>
      <c r="T256" s="9" t="n">
        <v>-226.028198211367</v>
      </c>
      <c r="U256" s="9" t="n">
        <v>-258.1691095371613</v>
      </c>
      <c r="V256" s="9" t="n"/>
      <c r="W256" s="10" t="inlineStr">
        <is>
          <t>無重大</t>
        </is>
      </c>
      <c r="X256" s="10" t="inlineStr">
        <is>
          <t>由正轉虧：+44 → +41 → -141 → -170（百萬）</t>
        </is>
      </c>
      <c r="Y256" s="10" t="inlineStr">
        <is>
          <t>營運仍虧損且未見收窄</t>
        </is>
      </c>
      <c r="Z256" s="15" t="inlineStr">
        <is>
          <t>D</t>
        </is>
      </c>
      <c r="AA256" s="7" t="inlineStr">
        <is>
          <t>2026-06-30 / 2026-11-24</t>
        </is>
      </c>
    </row>
    <row r="257" ht="46" customHeight="1">
      <c r="A257" s="5" t="n">
        <v>256</v>
      </c>
      <c r="B257" s="6" t="inlineStr">
        <is>
          <t>GSAT</t>
        </is>
      </c>
      <c r="C257" s="7" t="inlineStr">
        <is>
          <t>Globalstar, Inc.</t>
        </is>
      </c>
      <c r="D257" s="7" t="inlineStr">
        <is>
          <t>Consumer Discretionary</t>
        </is>
      </c>
      <c r="E257" s="7" t="inlineStr">
        <is>
          <t>Telecom Services</t>
        </is>
      </c>
      <c r="F257" s="8" t="n">
        <v>10.66824953270028</v>
      </c>
      <c r="G257" s="5" t="inlineStr">
        <is>
          <t>USD</t>
        </is>
      </c>
      <c r="H257" s="7" t="inlineStr">
        <is>
          <t>2025-09-30 / 2025-12-31 / 2026-03-31 / 2026-06-30</t>
        </is>
      </c>
      <c r="I257" s="8" t="n">
        <v>73.845</v>
      </c>
      <c r="J257" s="8" t="n">
        <v>71.961</v>
      </c>
      <c r="K257" s="8" t="n">
        <v>70.06399999999999</v>
      </c>
      <c r="L257" s="8" t="n">
        <v>64.77200000000001</v>
      </c>
      <c r="M257" s="9" t="n">
        <v>-3.538452373860712</v>
      </c>
      <c r="N257" s="8" t="n">
        <v>76.15114</v>
      </c>
      <c r="O257" s="10" t="inlineStr">
        <is>
          <t>淨利 -$1.6M
經常 +$10.3M
一次: 無重大</t>
        </is>
      </c>
      <c r="P257" s="10" t="inlineStr">
        <is>
          <t>淨利 -$14.3M
經常 -$0.3M
一次: +$12.0M（營收 17%）</t>
        </is>
      </c>
      <c r="Q257" s="10" t="inlineStr">
        <is>
          <t>淨利 -$20.0M
經常 +$8.2M
一次: -$2.5M（營收 4%）</t>
        </is>
      </c>
      <c r="R257" s="10" t="inlineStr">
        <is>
          <t>淨利 -$29.2M
經常 -$4.8M
一次: -$0.8M（營收 1%）</t>
        </is>
      </c>
      <c r="S257" s="11" t="n">
        <v>-0.12</v>
      </c>
      <c r="T257" s="9" t="n">
        <v>-7.372012598036188</v>
      </c>
      <c r="U257" s="9" t="n">
        <v>-45.05496202062619</v>
      </c>
      <c r="V257" s="9" t="n">
        <v>58.31995306613968</v>
      </c>
      <c r="W257" s="10" t="inlineStr">
        <is>
          <t>-$0.8M・營收 1.3%</t>
        </is>
      </c>
      <c r="X257" s="10" t="inlineStr">
        <is>
          <t>由正轉虧：+10 → -0 → +8 → -5（百萬）</t>
        </is>
      </c>
      <c r="Y257" s="10" t="inlineStr">
        <is>
          <t>營運仍虧損且未見收窄</t>
        </is>
      </c>
      <c r="Z257" s="15" t="inlineStr">
        <is>
          <t>D</t>
        </is>
      </c>
      <c r="AA257" s="7" t="inlineStr">
        <is>
          <t>2026-06-30 / 2026-11-05</t>
        </is>
      </c>
    </row>
    <row r="258" ht="46" customHeight="1">
      <c r="A258" s="5" t="n">
        <v>257</v>
      </c>
      <c r="B258" s="6" t="inlineStr">
        <is>
          <t>AAOI</t>
        </is>
      </c>
      <c r="C258" s="7" t="inlineStr">
        <is>
          <t>Applied Optoelectronics, Inc.</t>
        </is>
      </c>
      <c r="D258" s="7" t="inlineStr">
        <is>
          <t>Technology</t>
        </is>
      </c>
      <c r="E258" s="7" t="inlineStr">
        <is>
          <t>Communication Equipment</t>
        </is>
      </c>
      <c r="F258" s="8" t="n">
        <v>8.960160677684433</v>
      </c>
      <c r="G258" s="5" t="inlineStr">
        <is>
          <t>USD</t>
        </is>
      </c>
      <c r="H258" s="7" t="inlineStr">
        <is>
          <t>2025-09-30 / 2025-12-31 / 2026-03-31 / 2026-06-30</t>
        </is>
      </c>
      <c r="I258" s="8" t="n">
        <v>118.63</v>
      </c>
      <c r="J258" s="8" t="n">
        <v>134.274</v>
      </c>
      <c r="K258" s="8" t="n">
        <v>151.144</v>
      </c>
      <c r="L258" s="8" t="n">
        <v>191.922</v>
      </c>
      <c r="M258" s="9" t="n">
        <v>86.41891366850571</v>
      </c>
      <c r="N258" s="8" t="n">
        <v>427.2632</v>
      </c>
      <c r="O258" s="10" t="inlineStr">
        <is>
          <t>淨利 -$17.9M
經常 -$15.0M
一次: -$2.4M（營收 2%）</t>
        </is>
      </c>
      <c r="P258" s="10" t="inlineStr">
        <is>
          <t>淨利 -$2.0M
經常 -$11.4M
一次: -$1.5M（營收 1%）</t>
        </is>
      </c>
      <c r="Q258" s="10" t="inlineStr">
        <is>
          <t>淨利 -$14.3M
經常 -$12.9M
一次: 無重大</t>
        </is>
      </c>
      <c r="R258" s="10" t="inlineStr">
        <is>
          <t>淨利 -$22.8M
經常 -$23.8M
一次: 無重大</t>
        </is>
      </c>
      <c r="S258" s="11" t="n">
        <v>0.555</v>
      </c>
      <c r="T258" s="9" t="n">
        <v>-12.42536030262294</v>
      </c>
      <c r="U258" s="9" t="n">
        <v>-11.86992632423589</v>
      </c>
      <c r="V258" s="9" t="n">
        <v>27.72324173362095</v>
      </c>
      <c r="W258" s="10" t="inlineStr">
        <is>
          <t>無重大</t>
        </is>
      </c>
      <c r="X258" s="10" t="inlineStr">
        <is>
          <t>四季皆虧（擴大）：-15 → -11 → -13 → -24（百萬）</t>
        </is>
      </c>
      <c r="Y258" s="10" t="inlineStr">
        <is>
          <t>營運仍虧損且未見收窄</t>
        </is>
      </c>
      <c r="Z258" s="15" t="inlineStr">
        <is>
          <t>D</t>
        </is>
      </c>
      <c r="AA258" s="7" t="inlineStr">
        <is>
          <t>2026-06-30 / 2026-11-05</t>
        </is>
      </c>
    </row>
    <row r="259" ht="46" customHeight="1">
      <c r="A259" s="5" t="n">
        <v>258</v>
      </c>
      <c r="B259" s="6" t="inlineStr">
        <is>
          <t>SYRE</t>
        </is>
      </c>
      <c r="C259" s="7" t="inlineStr">
        <is>
          <t>Spyre Therapeutics, Inc.</t>
        </is>
      </c>
      <c r="D259" s="7" t="inlineStr">
        <is>
          <t>Health Care</t>
        </is>
      </c>
      <c r="E259" s="7" t="inlineStr">
        <is>
          <t>Biotechnology</t>
        </is>
      </c>
      <c r="F259" s="8" t="n">
        <v>7.845701342535792</v>
      </c>
      <c r="G259" s="5" t="inlineStr">
        <is>
          <t>USD</t>
        </is>
      </c>
      <c r="H259" s="7" t="inlineStr">
        <is>
          <t>2025-09-30 / 2025-12-31 / 2026-03-31 / 2026-06-30</t>
        </is>
      </c>
      <c r="I259" s="8" t="n">
        <v>0</v>
      </c>
      <c r="J259" s="8" t="n">
        <v>0</v>
      </c>
      <c r="K259" s="8" t="n">
        <v>0</v>
      </c>
      <c r="L259" s="8" t="n">
        <v>0</v>
      </c>
      <c r="M259" s="9" t="n"/>
      <c r="N259" s="8" t="n"/>
      <c r="O259" s="10" t="inlineStr">
        <is>
          <t>淨利 -$11.2M
經常 -$56.9M
一次: +$0.0M</t>
        </is>
      </c>
      <c r="P259" s="10" t="inlineStr">
        <is>
          <t>淨利 -$62.5M
經常 -$57.2M
一次: +$0.0M</t>
        </is>
      </c>
      <c r="Q259" s="10" t="inlineStr">
        <is>
          <t>淨利 -$69.0M
經常 -$75.6M
一次: +$30.0M</t>
        </is>
      </c>
      <c r="R259" s="10" t="inlineStr">
        <is>
          <t>淨利 -$36.2M
經常 -$81.6M
一次: +$40.0M</t>
        </is>
      </c>
      <c r="S259" s="11" t="n">
        <v>-0.87257</v>
      </c>
      <c r="T259" s="9" t="n"/>
      <c r="U259" s="9" t="n"/>
      <c r="V259" s="9" t="n"/>
      <c r="W259" s="10" t="inlineStr">
        <is>
          <t>無重大</t>
        </is>
      </c>
      <c r="X259" s="10" t="inlineStr">
        <is>
          <t>四季皆虧（擴大）：-57 → -57 → -76 → -82（百萬）</t>
        </is>
      </c>
      <c r="Y259" s="10" t="inlineStr">
        <is>
          <t>營運仍虧損且未見收窄</t>
        </is>
      </c>
      <c r="Z259" s="15" t="inlineStr">
        <is>
          <t>D</t>
        </is>
      </c>
      <c r="AA259" s="7" t="inlineStr">
        <is>
          <t>2026-06-30 / 2026-11-03</t>
        </is>
      </c>
    </row>
    <row r="260" ht="46" customHeight="1">
      <c r="A260" s="5" t="n">
        <v>259</v>
      </c>
      <c r="B260" s="6" t="inlineStr">
        <is>
          <t>APLD</t>
        </is>
      </c>
      <c r="C260" s="7" t="inlineStr">
        <is>
          <t>Applied Digital Corporation</t>
        </is>
      </c>
      <c r="D260" s="7" t="inlineStr">
        <is>
          <t>Technology</t>
        </is>
      </c>
      <c r="E260" s="7" t="inlineStr">
        <is>
          <t>Information Technology Services</t>
        </is>
      </c>
      <c r="F260" s="8" t="n">
        <v>7.686040483200228</v>
      </c>
      <c r="G260" s="5" t="inlineStr">
        <is>
          <t>USD</t>
        </is>
      </c>
      <c r="H260" s="7" t="inlineStr">
        <is>
          <t>2025-08-31 / 2025-11-30 / 2026-02-28 / 2026-05-31</t>
        </is>
      </c>
      <c r="I260" s="8" t="n">
        <v>64.21599999999999</v>
      </c>
      <c r="J260" s="8" t="n">
        <v>126.589</v>
      </c>
      <c r="K260" s="8" t="n">
        <v>126.637</v>
      </c>
      <c r="L260" s="8" t="n">
        <v>258.749</v>
      </c>
      <c r="M260" s="9" t="n">
        <v>-877.0240240240241</v>
      </c>
      <c r="N260" s="8" t="n">
        <v>177.29375</v>
      </c>
      <c r="O260" s="10" t="inlineStr">
        <is>
          <t>淨利 -$18.5M
經常 -$20.5M
一次: -$1.4M（營收 2%）</t>
        </is>
      </c>
      <c r="P260" s="10" t="inlineStr">
        <is>
          <t>淨利 -$19.1M
經常 -$31.0M
一次: +$12.6M（營收 10%）</t>
        </is>
      </c>
      <c r="Q260" s="10" t="inlineStr">
        <is>
          <t>淨利 -$100.9M
經常 -$25.9M
一次: -$47.0M（營收 37%）</t>
        </is>
      </c>
      <c r="R260" s="10" t="inlineStr">
        <is>
          <t>淨利 -$111.7M
經常 -$124.8M
一次: +$33.5M（營收 13%）</t>
        </is>
      </c>
      <c r="S260" s="11" t="n">
        <v>-0.33</v>
      </c>
      <c r="T260" s="9" t="n">
        <v>-48.21815736485938</v>
      </c>
      <c r="U260" s="9" t="n">
        <v>-43.17543256205821</v>
      </c>
      <c r="V260" s="9" t="n">
        <v>15.65919095339499</v>
      </c>
      <c r="W260" s="10" t="inlineStr">
        <is>
          <t>+$33.5M・營收 12.9%</t>
        </is>
      </c>
      <c r="X260" s="10" t="inlineStr">
        <is>
          <t>四季皆虧（擴大）：-21 → -31 → -26 → -125（百萬）</t>
        </is>
      </c>
      <c r="Y260" s="10" t="inlineStr">
        <is>
          <t>營運仍虧損且未見收窄</t>
        </is>
      </c>
      <c r="Z260" s="15" t="inlineStr">
        <is>
          <t>D</t>
        </is>
      </c>
      <c r="AA260" s="7" t="inlineStr">
        <is>
          <t>2026-05-31 / 2026-10-08</t>
        </is>
      </c>
    </row>
    <row r="261" ht="46" customHeight="1">
      <c r="A261" s="5" t="n">
        <v>260</v>
      </c>
      <c r="B261" s="6" t="inlineStr">
        <is>
          <t>OKLO</t>
        </is>
      </c>
      <c r="C261" s="7" t="inlineStr">
        <is>
          <t>Oklo Inc.</t>
        </is>
      </c>
      <c r="D261" s="7" t="inlineStr">
        <is>
          <t>Utilities</t>
        </is>
      </c>
      <c r="E261" s="7" t="inlineStr">
        <is>
          <t>Utilities - Independent Power Producers</t>
        </is>
      </c>
      <c r="F261" s="8" t="n">
        <v>7.676948415755162</v>
      </c>
      <c r="G261" s="5" t="inlineStr">
        <is>
          <t>USD</t>
        </is>
      </c>
      <c r="H261" s="7" t="inlineStr">
        <is>
          <t>2025-09-30 / 2025-12-31 / 2026-03-31 / 2026-06-30</t>
        </is>
      </c>
      <c r="I261" s="8" t="n">
        <v>0</v>
      </c>
      <c r="J261" s="8" t="n">
        <v>0</v>
      </c>
      <c r="K261" s="8" t="n">
        <v>0</v>
      </c>
      <c r="L261" s="8" t="n">
        <v>1.21</v>
      </c>
      <c r="M261" s="9" t="n"/>
      <c r="N261" s="8" t="n">
        <v>0.89253</v>
      </c>
      <c r="O261" s="10" t="inlineStr">
        <is>
          <t>淨利 -$29.7M
經常 -$36.3M
一次: 無重大</t>
        </is>
      </c>
      <c r="P261" s="10" t="inlineStr">
        <is>
          <t>淨利 -$41.4M
經常 -$57.1M
一次: 無重大</t>
        </is>
      </c>
      <c r="Q261" s="10" t="inlineStr">
        <is>
          <t>淨利 -$33.1M
經常 -$51.2M
一次: 無重大</t>
        </is>
      </c>
      <c r="R261" s="10" t="inlineStr">
        <is>
          <t>淨利 -$48.5M
經常 -$73.2M
一次: 無重大</t>
        </is>
      </c>
      <c r="S261" s="11" t="n">
        <v>-0.24193</v>
      </c>
      <c r="T261" s="9" t="n">
        <v>-6048.760330578512</v>
      </c>
      <c r="U261" s="9" t="n">
        <v>-4011.239669421488</v>
      </c>
      <c r="V261" s="9" t="n">
        <v>40.41322314049587</v>
      </c>
      <c r="W261" s="10" t="inlineStr">
        <is>
          <t>無重大</t>
        </is>
      </c>
      <c r="X261" s="10" t="inlineStr">
        <is>
          <t>四季皆虧（擴大）：-36 → -57 → -51 → -73（百萬）</t>
        </is>
      </c>
      <c r="Y261" s="10" t="inlineStr">
        <is>
          <t>營運仍虧損且未見收窄</t>
        </is>
      </c>
      <c r="Z261" s="15" t="inlineStr">
        <is>
          <t>D</t>
        </is>
      </c>
      <c r="AA261" s="7" t="inlineStr">
        <is>
          <t>2026-06-30 / 2026-11-10</t>
        </is>
      </c>
    </row>
    <row r="262" ht="46" customHeight="1">
      <c r="A262" s="5" t="n">
        <v>261</v>
      </c>
      <c r="B262" s="6" t="inlineStr">
        <is>
          <t>DNTH</t>
        </is>
      </c>
      <c r="C262" s="7" t="inlineStr">
        <is>
          <t>Dianthus Therapeutics, Inc.</t>
        </is>
      </c>
      <c r="D262" s="7" t="inlineStr">
        <is>
          <t>Health Care</t>
        </is>
      </c>
      <c r="E262" s="7" t="inlineStr">
        <is>
          <t>Biotechnology</t>
        </is>
      </c>
      <c r="F262" s="8" t="n">
        <v>6.046506261373249</v>
      </c>
      <c r="G262" s="5" t="inlineStr">
        <is>
          <t>USD</t>
        </is>
      </c>
      <c r="H262" s="7" t="inlineStr">
        <is>
          <t>2025-09-30 / 2025-12-31 / 2026-03-31 / 2026-06-30</t>
        </is>
      </c>
      <c r="I262" s="8" t="n">
        <v>0.396</v>
      </c>
      <c r="J262" s="8" t="n">
        <v>0.284</v>
      </c>
      <c r="K262" s="8" t="n">
        <v>0.463</v>
      </c>
      <c r="L262" s="8" t="n">
        <v>0.761</v>
      </c>
      <c r="M262" s="9" t="n">
        <v>294.300518134715</v>
      </c>
      <c r="N262" s="8" t="n">
        <v>0.30282</v>
      </c>
      <c r="O262" s="10" t="inlineStr">
        <is>
          <t>淨利 -$36.8M
經常 -$40.3M
一次: +$0.2M（營收 57%）</t>
        </is>
      </c>
      <c r="P262" s="10" t="inlineStr">
        <is>
          <t>淨利 -$64.4M
經常 -$69.5M
一次: +$0.3M（營收 88%）</t>
        </is>
      </c>
      <c r="Q262" s="10" t="inlineStr">
        <is>
          <t>淨利 -$40.8M
經常 -$46.5M
一次: -$0.3M（營收 68%）</t>
        </is>
      </c>
      <c r="R262" s="10" t="inlineStr">
        <is>
          <t>淨利 -$50.2M
經常 -$61.5M
一次: +$0.1M（營收 12%）</t>
        </is>
      </c>
      <c r="S262" s="11" t="n">
        <v>-1.12593</v>
      </c>
      <c r="T262" s="9" t="n">
        <v>-8079.106438896189</v>
      </c>
      <c r="U262" s="9" t="n">
        <v>-6598.554533508542</v>
      </c>
      <c r="V262" s="9" t="n"/>
      <c r="W262" s="10" t="inlineStr">
        <is>
          <t>+$0.1M・營收 12.5%</t>
        </is>
      </c>
      <c r="X262" s="10" t="inlineStr">
        <is>
          <t>四季皆虧（擴大）：-40 → -70 → -47 → -61（百萬）</t>
        </is>
      </c>
      <c r="Y262" s="10" t="inlineStr">
        <is>
          <t>營運仍虧損且未見收窄</t>
        </is>
      </c>
      <c r="Z262" s="15" t="inlineStr">
        <is>
          <t>D</t>
        </is>
      </c>
      <c r="AA262" s="7" t="inlineStr">
        <is>
          <t>2026-06-30 / 2026-11-05</t>
        </is>
      </c>
    </row>
    <row r="263" ht="46" customHeight="1">
      <c r="A263" s="5" t="n">
        <v>262</v>
      </c>
      <c r="B263" s="6" t="inlineStr">
        <is>
          <t>ELVN</t>
        </is>
      </c>
      <c r="C263" s="7" t="inlineStr">
        <is>
          <t>Enliven Therapeutics, Inc.</t>
        </is>
      </c>
      <c r="D263" s="7" t="inlineStr">
        <is>
          <t>Health Care</t>
        </is>
      </c>
      <c r="E263" s="7" t="inlineStr">
        <is>
          <t>Biotechnology</t>
        </is>
      </c>
      <c r="F263" s="8" t="n">
        <v>4.346421542741268</v>
      </c>
      <c r="G263" s="5" t="inlineStr">
        <is>
          <t>USD</t>
        </is>
      </c>
      <c r="H263" s="7" t="inlineStr">
        <is>
          <t>2025-09-30 / 2025-12-31 / 2026-03-31 / 2026-06-30</t>
        </is>
      </c>
      <c r="I263" s="8" t="n">
        <v>0</v>
      </c>
      <c r="J263" s="8" t="n">
        <v>0</v>
      </c>
      <c r="K263" s="8" t="n">
        <v>0</v>
      </c>
      <c r="L263" s="8" t="n">
        <v>0</v>
      </c>
      <c r="M263" s="9" t="n"/>
      <c r="N263" s="8" t="n"/>
      <c r="O263" s="10" t="inlineStr">
        <is>
          <t>淨利 -$20.1M
經常 -$25.1M
一次: +$0.0M</t>
        </is>
      </c>
      <c r="P263" s="10" t="inlineStr">
        <is>
          <t>淨利 -$29.7M
經常 -$34.3M
一次: +$0.0M</t>
        </is>
      </c>
      <c r="Q263" s="10" t="inlineStr">
        <is>
          <t>淨利 -$23.6M
經常 -$27.8M
一次: 無重大</t>
        </is>
      </c>
      <c r="R263" s="10" t="inlineStr">
        <is>
          <t>淨利 -$32.5M
經常 -$37.2M
一次: 無重大</t>
        </is>
      </c>
      <c r="S263" s="11" t="n">
        <v>-0.586</v>
      </c>
      <c r="T263" s="9" t="n"/>
      <c r="U263" s="9" t="n"/>
      <c r="V263" s="9" t="n"/>
      <c r="W263" s="10" t="inlineStr">
        <is>
          <t>無重大</t>
        </is>
      </c>
      <c r="X263" s="10" t="inlineStr">
        <is>
          <t>四季皆虧（擴大）：-25 → -34 → -28 → -37（百萬）</t>
        </is>
      </c>
      <c r="Y263" s="10" t="inlineStr">
        <is>
          <t>營運仍虧損且未見收窄</t>
        </is>
      </c>
      <c r="Z263" s="15" t="inlineStr">
        <is>
          <t>D</t>
        </is>
      </c>
      <c r="AA263" s="7" t="inlineStr">
        <is>
          <t>2026-06-30 / 2026-11-11</t>
        </is>
      </c>
    </row>
    <row r="264" ht="46" customHeight="1">
      <c r="A264" s="5" t="n">
        <v>263</v>
      </c>
      <c r="B264" s="6" t="inlineStr">
        <is>
          <t>RLAY</t>
        </is>
      </c>
      <c r="C264" s="7" t="inlineStr">
        <is>
          <t>Relay Therapeutics, Inc.</t>
        </is>
      </c>
      <c r="D264" s="7" t="inlineStr">
        <is>
          <t>Health Care</t>
        </is>
      </c>
      <c r="E264" s="7" t="inlineStr">
        <is>
          <t>Biotechnology</t>
        </is>
      </c>
      <c r="F264" s="8" t="n">
        <v>4.172456654</v>
      </c>
      <c r="G264" s="5" t="inlineStr">
        <is>
          <t>USD</t>
        </is>
      </c>
      <c r="H264" s="7" t="inlineStr">
        <is>
          <t>2025-09-30 / 2025-12-31 / 2026-03-31 / 2026-06-30</t>
        </is>
      </c>
      <c r="I264" s="8" t="n">
        <v>0</v>
      </c>
      <c r="J264" s="8" t="n">
        <v>7</v>
      </c>
      <c r="K264" s="8" t="n">
        <v>3</v>
      </c>
      <c r="L264" s="8" t="n">
        <v>0.35</v>
      </c>
      <c r="M264" s="9" t="n">
        <v>-48.301329394387</v>
      </c>
      <c r="N264" s="8" t="n">
        <v>7.10909</v>
      </c>
      <c r="O264" s="10" t="inlineStr">
        <is>
          <t>淨利 -$74.1M
經常 -$80.4M
一次: +$0.0M</t>
        </is>
      </c>
      <c r="P264" s="10" t="inlineStr">
        <is>
          <t>淨利 -$54.9M
經常 -$60.6M
一次: 無重大</t>
        </is>
      </c>
      <c r="Q264" s="10" t="inlineStr">
        <is>
          <t>淨利 -$73.3M
經常 -$78.6M
一次: 無重大</t>
        </is>
      </c>
      <c r="R264" s="10" t="inlineStr">
        <is>
          <t>淨利 -$83.7M
經常 -$90.8M
一次: 無重大</t>
        </is>
      </c>
      <c r="S264" s="11" t="n">
        <v>-0.3812</v>
      </c>
      <c r="T264" s="9" t="n">
        <v>-25949.71428571429</v>
      </c>
      <c r="U264" s="9" t="n">
        <v>-23916.28571428571</v>
      </c>
      <c r="V264" s="9" t="n"/>
      <c r="W264" s="10" t="inlineStr">
        <is>
          <t>無重大</t>
        </is>
      </c>
      <c r="X264" s="10" t="inlineStr">
        <is>
          <t>四季皆虧（擴大）：-80 → -61 → -79 → -91（百萬）</t>
        </is>
      </c>
      <c r="Y264" s="10" t="inlineStr">
        <is>
          <t>營運仍虧損且未見收窄</t>
        </is>
      </c>
      <c r="Z264" s="15" t="inlineStr">
        <is>
          <t>D</t>
        </is>
      </c>
      <c r="AA264" s="7" t="inlineStr">
        <is>
          <t>2026-06-30 / 2026-11-05</t>
        </is>
      </c>
    </row>
    <row r="265" ht="46" customHeight="1">
      <c r="A265" s="5" t="n">
        <v>264</v>
      </c>
      <c r="B265" s="6" t="inlineStr">
        <is>
          <t>ADPT</t>
        </is>
      </c>
      <c r="C265" s="7" t="inlineStr">
        <is>
          <t>Adaptive Biotechnologies Corporation</t>
        </is>
      </c>
      <c r="D265" s="7" t="inlineStr">
        <is>
          <t>Health Care</t>
        </is>
      </c>
      <c r="E265" s="7" t="inlineStr">
        <is>
          <t>Diagnostics &amp; Research</t>
        </is>
      </c>
      <c r="F265" s="8" t="n">
        <v>3.874987043285209</v>
      </c>
      <c r="G265" s="5" t="inlineStr">
        <is>
          <t>USD</t>
        </is>
      </c>
      <c r="H265" s="7" t="inlineStr">
        <is>
          <t>2025-09-30 / 2025-12-31 / 2026-03-31 / 2026-06-30</t>
        </is>
      </c>
      <c r="I265" s="8" t="n">
        <v>93.973</v>
      </c>
      <c r="J265" s="8" t="n">
        <v>71.681</v>
      </c>
      <c r="K265" s="8" t="n">
        <v>70.874</v>
      </c>
      <c r="L265" s="8" t="n">
        <v>71.553</v>
      </c>
      <c r="M265" s="9" t="n">
        <v>21.52550145213063</v>
      </c>
      <c r="N265" s="8" t="n">
        <v>78.98271</v>
      </c>
      <c r="O265" s="10" t="inlineStr">
        <is>
          <t>淨利 +$9.5M
經常 +$10.3M
一次: 無重大</t>
        </is>
      </c>
      <c r="P265" s="10" t="inlineStr">
        <is>
          <t>淨利 -$13.6M
經常 -$12.8M
一次: 無重大</t>
        </is>
      </c>
      <c r="Q265" s="10" t="inlineStr">
        <is>
          <t>淨利 -$20.0M
經常 -$19.2M
一次: 無重大</t>
        </is>
      </c>
      <c r="R265" s="10" t="inlineStr">
        <is>
          <t>淨利 -$39.8M
經常 -$15.8M
一次: -$23.7M（營收 33%）</t>
        </is>
      </c>
      <c r="S265" s="11" t="n">
        <v>-0.06270000000000001</v>
      </c>
      <c r="T265" s="9" t="n">
        <v>-22.03960700459799</v>
      </c>
      <c r="U265" s="9" t="n">
        <v>-55.60633376657862</v>
      </c>
      <c r="V265" s="9" t="n">
        <v>71.81809288219921</v>
      </c>
      <c r="W265" s="10" t="inlineStr">
        <is>
          <t>-$23.7M・營收 33.2%</t>
        </is>
      </c>
      <c r="X265" s="10" t="inlineStr">
        <is>
          <t>由正轉虧：+10 → -13 → -19 → -16（百萬）</t>
        </is>
      </c>
      <c r="Y265" s="10" t="inlineStr">
        <is>
          <t>營運仍虧損且未見收窄</t>
        </is>
      </c>
      <c r="Z265" s="15" t="inlineStr">
        <is>
          <t>D</t>
        </is>
      </c>
      <c r="AA265" s="7" t="inlineStr">
        <is>
          <t>2026-06-30 / 2026-11-04</t>
        </is>
      </c>
    </row>
    <row r="266" ht="46" customHeight="1">
      <c r="A266" s="5" t="n">
        <v>265</v>
      </c>
      <c r="B266" s="6" t="inlineStr">
        <is>
          <t>CLDX</t>
        </is>
      </c>
      <c r="C266" s="7" t="inlineStr">
        <is>
          <t>Celldex Therapeutics, Inc.</t>
        </is>
      </c>
      <c r="D266" s="7" t="inlineStr">
        <is>
          <t>Health Care</t>
        </is>
      </c>
      <c r="E266" s="7" t="inlineStr">
        <is>
          <t>Biotechnology</t>
        </is>
      </c>
      <c r="F266" s="8" t="n">
        <v>3.116051829800408</v>
      </c>
      <c r="G266" s="5" t="inlineStr">
        <is>
          <t>USD</t>
        </is>
      </c>
      <c r="H266" s="7" t="inlineStr">
        <is>
          <t>2025-09-30 / 2025-12-31 / 2026-03-31 / 2026-06-30</t>
        </is>
      </c>
      <c r="I266" s="8" t="n">
        <v>0</v>
      </c>
      <c r="J266" s="8" t="n">
        <v>0.121</v>
      </c>
      <c r="K266" s="8" t="n">
        <v>0.015</v>
      </c>
      <c r="L266" s="8" t="n">
        <v>0.022</v>
      </c>
      <c r="M266" s="9" t="n">
        <v>-96.98630136986301</v>
      </c>
      <c r="N266" s="8" t="n">
        <v>1.35878</v>
      </c>
      <c r="O266" s="10" t="inlineStr">
        <is>
          <t>淨利 -$67.0M
經常 -$73.6M
一次: +$6.6M</t>
        </is>
      </c>
      <c r="P266" s="10" t="inlineStr">
        <is>
          <t>淨利 -$81.3M
經常 -$87.2M
一次: +$5.8M（營收 4823%）</t>
        </is>
      </c>
      <c r="Q266" s="10" t="inlineStr">
        <is>
          <t>淨利 -$78.7M
經常 -$84.4M
一次: +$5.8M（營收 38333%）</t>
        </is>
      </c>
      <c r="R266" s="10" t="inlineStr">
        <is>
          <t>淨利 -$73.5M
經常 -$80.6M
一次: +$7.1M（營收 32364%）</t>
        </is>
      </c>
      <c r="S266" s="11" t="n">
        <v>-1.00972</v>
      </c>
      <c r="T266" s="9" t="n">
        <v>-366468.1818181818</v>
      </c>
      <c r="U266" s="9" t="n">
        <v>-334104.5454545455</v>
      </c>
      <c r="V266" s="9" t="n"/>
      <c r="W266" s="10" t="inlineStr">
        <is>
          <t>+$7.1M・營收 32363.6%</t>
        </is>
      </c>
      <c r="X266" s="10" t="inlineStr">
        <is>
          <t>四季皆虧（擴大）：-74 → -87 → -84 → -81（百萬）</t>
        </is>
      </c>
      <c r="Y266" s="10" t="inlineStr">
        <is>
          <t>營運仍虧損且未見收窄</t>
        </is>
      </c>
      <c r="Z266" s="15" t="inlineStr">
        <is>
          <t>D</t>
        </is>
      </c>
      <c r="AA266" s="7" t="inlineStr">
        <is>
          <t>2026-06-30 / 2026-11-09</t>
        </is>
      </c>
    </row>
    <row r="267" ht="46" customHeight="1">
      <c r="A267" s="5" t="n">
        <v>266</v>
      </c>
      <c r="B267" s="6" t="inlineStr">
        <is>
          <t>MBX</t>
        </is>
      </c>
      <c r="C267" s="7" t="inlineStr">
        <is>
          <t>MBX Biosciences, Inc.</t>
        </is>
      </c>
      <c r="D267" s="7" t="inlineStr">
        <is>
          <t>Health Care</t>
        </is>
      </c>
      <c r="E267" s="7" t="inlineStr">
        <is>
          <t>Biotechnology</t>
        </is>
      </c>
      <c r="F267" s="8" t="n">
        <v>2.972441124672164</v>
      </c>
      <c r="G267" s="5" t="inlineStr">
        <is>
          <t>USD</t>
        </is>
      </c>
      <c r="H267" s="7" t="inlineStr">
        <is>
          <t>2025-09-30 / 2025-12-31 / 2026-03-31 / 2026-06-30</t>
        </is>
      </c>
      <c r="I267" s="8" t="n">
        <v>0</v>
      </c>
      <c r="J267" s="8" t="n">
        <v>0</v>
      </c>
      <c r="K267" s="8" t="n">
        <v>0</v>
      </c>
      <c r="L267" s="8" t="n">
        <v>0</v>
      </c>
      <c r="M267" s="9" t="n"/>
      <c r="N267" s="8" t="n"/>
      <c r="O267" s="10" t="inlineStr">
        <is>
          <t>淨利 -$21.6M
經常 -$23.9M
一次: 無重大</t>
        </is>
      </c>
      <c r="P267" s="10" t="inlineStr">
        <is>
          <t>淨利 -$22.1M
經常 -$25.8M
一次: 無重大</t>
        </is>
      </c>
      <c r="Q267" s="10" t="inlineStr">
        <is>
          <t>淨利 -$23.5M
經常 -$27.3M
一次: 無重大</t>
        </is>
      </c>
      <c r="R267" s="10" t="inlineStr">
        <is>
          <t>淨利 -$37.1M
經常 -$40.9M
一次: 無重大</t>
        </is>
      </c>
      <c r="S267" s="11" t="n">
        <v>-0.93098</v>
      </c>
      <c r="T267" s="9" t="n"/>
      <c r="U267" s="9" t="n"/>
      <c r="V267" s="9" t="n"/>
      <c r="W267" s="10" t="inlineStr">
        <is>
          <t>無重大</t>
        </is>
      </c>
      <c r="X267" s="10" t="inlineStr">
        <is>
          <t>四季皆虧（擴大）：-24 → -26 → -27 → -41（百萬）</t>
        </is>
      </c>
      <c r="Y267" s="10" t="inlineStr">
        <is>
          <t>營運仍虧損且未見收窄</t>
        </is>
      </c>
      <c r="Z267" s="15" t="inlineStr">
        <is>
          <t>D</t>
        </is>
      </c>
      <c r="AA267" s="7" t="inlineStr">
        <is>
          <t>2026-06-30 / 2026-11-05</t>
        </is>
      </c>
    </row>
    <row r="268" ht="46" customHeight="1">
      <c r="A268" s="5" t="n">
        <v>267</v>
      </c>
      <c r="B268" s="6" t="inlineStr">
        <is>
          <t>AXGN</t>
        </is>
      </c>
      <c r="C268" s="7" t="inlineStr">
        <is>
          <t>Axogen, Inc.</t>
        </is>
      </c>
      <c r="D268" s="7" t="inlineStr">
        <is>
          <t>Health Care</t>
        </is>
      </c>
      <c r="E268" s="7" t="inlineStr">
        <is>
          <t>Medical Devices</t>
        </is>
      </c>
      <c r="F268" s="8" t="n">
        <v>2.595605847629677</v>
      </c>
      <c r="G268" s="5" t="inlineStr">
        <is>
          <t>USD</t>
        </is>
      </c>
      <c r="H268" s="7" t="inlineStr">
        <is>
          <t>2025-09-30 / 2025-12-31 / 2026-03-31 / 2026-06-30</t>
        </is>
      </c>
      <c r="I268" s="8" t="n">
        <v>60.082</v>
      </c>
      <c r="J268" s="8" t="n">
        <v>59.904</v>
      </c>
      <c r="K268" s="8" t="n">
        <v>61.457</v>
      </c>
      <c r="L268" s="8" t="n">
        <v>69.73099999999999</v>
      </c>
      <c r="M268" s="9" t="n">
        <v>23.06484063393455</v>
      </c>
      <c r="N268" s="8" t="n">
        <v>75.21867</v>
      </c>
      <c r="O268" s="10" t="inlineStr">
        <is>
          <t>淨利 +$0.7M
經常 +$1.9M
一次: 無重大</t>
        </is>
      </c>
      <c r="P268" s="10" t="inlineStr">
        <is>
          <t>淨利 -$13.2M
經常 -$9.8M
一次: -$1.7M（營收 3%）</t>
        </is>
      </c>
      <c r="Q268" s="10" t="inlineStr">
        <is>
          <t>淨利 -$19.6M
經常 -$2.8M
一次: -$16.1M（營收 26%）</t>
        </is>
      </c>
      <c r="R268" s="10" t="inlineStr">
        <is>
          <t>淨利 -$1.5M
經常 -$2.2M
一次: +$0.8M（營收 1%）</t>
        </is>
      </c>
      <c r="S268" s="11" t="n">
        <v>0.13571</v>
      </c>
      <c r="T268" s="9" t="n">
        <v>-3.091881659520156</v>
      </c>
      <c r="U268" s="9" t="n">
        <v>-2.174068922000258</v>
      </c>
      <c r="V268" s="9" t="n">
        <v>72.67069165794267</v>
      </c>
      <c r="W268" s="10" t="inlineStr">
        <is>
          <t>+$0.8M・營收 1.1%</t>
        </is>
      </c>
      <c r="X268" s="10" t="inlineStr">
        <is>
          <t>由正轉虧：+2 → -10 → -3 → -2（百萬）</t>
        </is>
      </c>
      <c r="Y268" s="10" t="inlineStr">
        <is>
          <t>營運仍虧損且未見收窄</t>
        </is>
      </c>
      <c r="Z268" s="15" t="inlineStr">
        <is>
          <t>D</t>
        </is>
      </c>
      <c r="AA268" s="7" t="inlineStr">
        <is>
          <t>2026-06-30 / 2026-10-28</t>
        </is>
      </c>
    </row>
    <row r="269" ht="46" customHeight="1">
      <c r="A269" s="5" t="n">
        <v>268</v>
      </c>
      <c r="B269" s="6" t="inlineStr">
        <is>
          <t>TRVI</t>
        </is>
      </c>
      <c r="C269" s="7" t="inlineStr">
        <is>
          <t>Trevi Therapeutics, Inc.</t>
        </is>
      </c>
      <c r="D269" s="7" t="inlineStr">
        <is>
          <t>Health Care</t>
        </is>
      </c>
      <c r="E269" s="7" t="inlineStr">
        <is>
          <t>Biotechnology</t>
        </is>
      </c>
      <c r="F269" s="8" t="n">
        <v>2.45913301581365</v>
      </c>
      <c r="G269" s="5" t="inlineStr">
        <is>
          <t>USD</t>
        </is>
      </c>
      <c r="H269" s="7" t="inlineStr">
        <is>
          <t>2025-09-30 / 2025-12-31 / 2026-03-31 / 2026-06-30</t>
        </is>
      </c>
      <c r="I269" s="8" t="n">
        <v>0</v>
      </c>
      <c r="J269" s="8" t="n">
        <v>0</v>
      </c>
      <c r="K269" s="8" t="n">
        <v>0</v>
      </c>
      <c r="L269" s="8" t="n">
        <v>0</v>
      </c>
      <c r="M269" s="9" t="n"/>
      <c r="N269" s="8" t="n"/>
      <c r="O269" s="10" t="inlineStr">
        <is>
          <t>淨利 -$11.8M
經常 -$13.9M
一次: 無重大</t>
        </is>
      </c>
      <c r="P269" s="10" t="inlineStr">
        <is>
          <t>淨利 -$8.3M
經常 -$10.2M
一次: 無重大</t>
        </is>
      </c>
      <c r="Q269" s="10" t="inlineStr">
        <is>
          <t>淨利 -$13.2M
經常 -$14.9M
一次: 無重大</t>
        </is>
      </c>
      <c r="R269" s="10" t="inlineStr">
        <is>
          <t>淨利 -$17.8M
經常 -$20.5M
一次: 無重大</t>
        </is>
      </c>
      <c r="S269" s="11" t="n">
        <v>-0.143</v>
      </c>
      <c r="T269" s="9" t="n"/>
      <c r="U269" s="9" t="n"/>
      <c r="V269" s="9" t="n"/>
      <c r="W269" s="10" t="inlineStr">
        <is>
          <t>無重大</t>
        </is>
      </c>
      <c r="X269" s="10" t="inlineStr">
        <is>
          <t>四季皆虧（擴大）：-14 → -10 → -15 → -21（百萬）</t>
        </is>
      </c>
      <c r="Y269" s="10" t="inlineStr">
        <is>
          <t>營運仍虧損且未見收窄</t>
        </is>
      </c>
      <c r="Z269" s="15" t="inlineStr">
        <is>
          <t>D</t>
        </is>
      </c>
      <c r="AA269" s="7" t="inlineStr">
        <is>
          <t>2026-06-30 / 2026-11-12</t>
        </is>
      </c>
    </row>
    <row r="270" ht="46" customHeight="1">
      <c r="A270" s="5" t="n">
        <v>269</v>
      </c>
      <c r="B270" s="6" t="inlineStr">
        <is>
          <t>PVLA</t>
        </is>
      </c>
      <c r="C270" s="7" t="inlineStr">
        <is>
          <t>Palvella Therapeutics, Inc.</t>
        </is>
      </c>
      <c r="D270" s="7" t="inlineStr">
        <is>
          <t>Health Care</t>
        </is>
      </c>
      <c r="E270" s="7" t="inlineStr">
        <is>
          <t>Biotechnology</t>
        </is>
      </c>
      <c r="F270" s="8" t="n">
        <v>2.265577917041656</v>
      </c>
      <c r="G270" s="5" t="inlineStr">
        <is>
          <t>USD</t>
        </is>
      </c>
      <c r="H270" s="7" t="inlineStr">
        <is>
          <t>2025-09-30 / 2025-12-31 / 2026-03-31 / 2026-06-30</t>
        </is>
      </c>
      <c r="I270" s="8" t="n">
        <v>0</v>
      </c>
      <c r="J270" s="8" t="n">
        <v>0</v>
      </c>
      <c r="K270" s="8" t="n">
        <v>0</v>
      </c>
      <c r="L270" s="8" t="n">
        <v>0</v>
      </c>
      <c r="M270" s="9" t="n"/>
      <c r="N270" s="8" t="n"/>
      <c r="O270" s="10" t="inlineStr">
        <is>
          <t>淨利 -$11.3M
經常 -$10.2M
一次: -$0.3M</t>
        </is>
      </c>
      <c r="P270" s="10" t="inlineStr">
        <is>
          <t>淨利 -$12.7M
經常 -$11.3M
一次: -$0.1M</t>
        </is>
      </c>
      <c r="Q270" s="10" t="inlineStr">
        <is>
          <t>淨利 -$15.8M
經常 -$14.9M
一次: +$0.1M</t>
        </is>
      </c>
      <c r="R270" s="10" t="inlineStr">
        <is>
          <t>淨利 -$21.9M
經常 -$21.4M
一次: -$0.1M</t>
        </is>
      </c>
      <c r="S270" s="11" t="n">
        <v>-2.08583</v>
      </c>
      <c r="T270" s="9" t="n"/>
      <c r="U270" s="9" t="n"/>
      <c r="V270" s="9" t="n"/>
      <c r="W270" s="10" t="inlineStr">
        <is>
          <t>無重大</t>
        </is>
      </c>
      <c r="X270" s="10" t="inlineStr">
        <is>
          <t>四季皆虧（擴大）：-10 → -11 → -15 → -21（百萬）</t>
        </is>
      </c>
      <c r="Y270" s="10" t="inlineStr">
        <is>
          <t>營運仍虧損且未見收窄</t>
        </is>
      </c>
      <c r="Z270" s="15" t="inlineStr">
        <is>
          <t>D</t>
        </is>
      </c>
      <c r="AA270" s="7" t="inlineStr">
        <is>
          <t>2026-06-30 / 2026-11-11</t>
        </is>
      </c>
    </row>
    <row r="271" ht="46" customHeight="1">
      <c r="A271" s="5" t="n">
        <v>270</v>
      </c>
      <c r="B271" s="6" t="inlineStr">
        <is>
          <t>RAPP</t>
        </is>
      </c>
      <c r="C271" s="7" t="inlineStr">
        <is>
          <t>Rapport Therapeutics, Inc.</t>
        </is>
      </c>
      <c r="D271" s="7" t="inlineStr">
        <is>
          <t>Health Care</t>
        </is>
      </c>
      <c r="E271" s="7" t="inlineStr">
        <is>
          <t>Biotechnology</t>
        </is>
      </c>
      <c r="F271" s="8" t="n">
        <v>2.195966150644332</v>
      </c>
      <c r="G271" s="5" t="inlineStr">
        <is>
          <t>USD</t>
        </is>
      </c>
      <c r="H271" s="7" t="inlineStr">
        <is>
          <t>2025-09-30 / 2025-12-31 / 2026-03-31 / 2026-06-30</t>
        </is>
      </c>
      <c r="I271" s="8" t="n">
        <v>0</v>
      </c>
      <c r="J271" s="8" t="n">
        <v>0</v>
      </c>
      <c r="K271" s="8" t="n">
        <v>20</v>
      </c>
      <c r="L271" s="8" t="n">
        <v>0</v>
      </c>
      <c r="M271" s="9" t="n"/>
      <c r="N271" s="8" t="n"/>
      <c r="O271" s="10" t="inlineStr">
        <is>
          <t>淨利 -$26.9M
經常 -$30.0M
一次: 無重大</t>
        </is>
      </c>
      <c r="P271" s="10" t="inlineStr">
        <is>
          <t>淨利 -$33.8M
經常 -$38.5M
一次: 無重大</t>
        </is>
      </c>
      <c r="Q271" s="10" t="inlineStr">
        <is>
          <t>淨利 -$19.9M
經常 -$24.2M
一次: 無重大</t>
        </is>
      </c>
      <c r="R271" s="10" t="inlineStr">
        <is>
          <t>淨利 -$56.6M
經常 -$60.8M
一次: 無重大</t>
        </is>
      </c>
      <c r="S271" s="11" t="n">
        <v>-1.24</v>
      </c>
      <c r="T271" s="9" t="n"/>
      <c r="U271" s="9" t="n"/>
      <c r="V271" s="9" t="n"/>
      <c r="W271" s="10" t="inlineStr">
        <is>
          <t>無重大</t>
        </is>
      </c>
      <c r="X271" s="10" t="inlineStr">
        <is>
          <t>四季皆虧（擴大）：-30 → -39 → -24 → -61（百萬）</t>
        </is>
      </c>
      <c r="Y271" s="10" t="inlineStr">
        <is>
          <t>營運仍虧損且未見收窄</t>
        </is>
      </c>
      <c r="Z271" s="15" t="inlineStr">
        <is>
          <t>D</t>
        </is>
      </c>
      <c r="AA271" s="7" t="inlineStr">
        <is>
          <t>2026-06-30 / 2026-11-05</t>
        </is>
      </c>
    </row>
    <row r="272" ht="46" customHeight="1">
      <c r="A272" s="5" t="n">
        <v>271</v>
      </c>
      <c r="B272" s="6" t="inlineStr">
        <is>
          <t>BBAI</t>
        </is>
      </c>
      <c r="C272" s="7" t="inlineStr">
        <is>
          <t>BigBear.ai Holdings, Inc.</t>
        </is>
      </c>
      <c r="D272" s="7" t="inlineStr">
        <is>
          <t>Technology</t>
        </is>
      </c>
      <c r="E272" s="7" t="inlineStr">
        <is>
          <t>Information Technology Services</t>
        </is>
      </c>
      <c r="F272" s="8" t="n">
        <v>1.400123919283784</v>
      </c>
      <c r="G272" s="5" t="inlineStr">
        <is>
          <t>USD</t>
        </is>
      </c>
      <c r="H272" s="7" t="inlineStr">
        <is>
          <t>2025-09-30 / 2025-12-31 / 2026-03-31 / 2026-06-30</t>
        </is>
      </c>
      <c r="I272" s="8" t="n">
        <v>33.143</v>
      </c>
      <c r="J272" s="8" t="n">
        <v>27.3</v>
      </c>
      <c r="K272" s="8" t="n">
        <v>34.435</v>
      </c>
      <c r="L272" s="8" t="n">
        <v>36.749</v>
      </c>
      <c r="M272" s="9" t="n">
        <v>13.17134762256713</v>
      </c>
      <c r="N272" s="8" t="n">
        <v>35.217</v>
      </c>
      <c r="O272" s="10" t="inlineStr">
        <is>
          <t>淨利 +$2.5M
經常 -$21.2M
一次: +$25.3M（營收 76%）</t>
        </is>
      </c>
      <c r="P272" s="10" t="inlineStr">
        <is>
          <t>淨利 -$5.8M
經常 -$24.9M
一次: -$4.3M（營收 16%）</t>
        </is>
      </c>
      <c r="Q272" s="10" t="inlineStr">
        <is>
          <t>淨利 -$56.8M
經常 -$23.0M
一次: -$22.3M（營收 65%）</t>
        </is>
      </c>
      <c r="R272" s="10" t="inlineStr">
        <is>
          <t>淨利 -$25.7M
經常 -$27.4M
一次: -$1.7M（營收 5%）</t>
        </is>
      </c>
      <c r="S272" s="11" t="n">
        <v>-0.045</v>
      </c>
      <c r="T272" s="9" t="n">
        <v>-74.44828430705599</v>
      </c>
      <c r="U272" s="9" t="n">
        <v>-70.0672127132711</v>
      </c>
      <c r="V272" s="9" t="n">
        <v>32.79272905385181</v>
      </c>
      <c r="W272" s="10" t="inlineStr">
        <is>
          <t>-$1.7M・營收 4.5%</t>
        </is>
      </c>
      <c r="X272" s="10" t="inlineStr">
        <is>
          <t>四季皆虧（擴大）：-21 → -25 → -23 → -27（百萬）</t>
        </is>
      </c>
      <c r="Y272" s="10" t="inlineStr">
        <is>
          <t>營運仍虧損且未見收窄</t>
        </is>
      </c>
      <c r="Z272" s="15" t="inlineStr">
        <is>
          <t>D</t>
        </is>
      </c>
      <c r="AA272" s="7" t="inlineStr">
        <is>
          <t>2026-06-30 / 2026-11-02</t>
        </is>
      </c>
    </row>
    <row r="273" ht="46" customHeight="1">
      <c r="A273" s="5" t="n">
        <v>272</v>
      </c>
      <c r="B273" s="6" t="inlineStr">
        <is>
          <t>CYRX</t>
        </is>
      </c>
      <c r="C273" s="7" t="inlineStr">
        <is>
          <t>Cryoport, Inc.</t>
        </is>
      </c>
      <c r="D273" s="7" t="inlineStr">
        <is>
          <t>Health Care</t>
        </is>
      </c>
      <c r="E273" s="7" t="inlineStr">
        <is>
          <t>Integrated Freight &amp; Logistics</t>
        </is>
      </c>
      <c r="F273" s="8" t="n">
        <v>0.8007622705973001</v>
      </c>
      <c r="G273" s="5" t="inlineStr">
        <is>
          <t>USD</t>
        </is>
      </c>
      <c r="H273" s="7" t="inlineStr">
        <is>
          <t>2025-09-30 / 2025-12-31 / 2026-03-31 / 2026-06-30</t>
        </is>
      </c>
      <c r="I273" s="8" t="n">
        <v>44.233</v>
      </c>
      <c r="J273" s="8" t="n">
        <v>45.45</v>
      </c>
      <c r="K273" s="8" t="n">
        <v>47.798</v>
      </c>
      <c r="L273" s="8" t="n">
        <v>48.971</v>
      </c>
      <c r="M273" s="9" t="n">
        <v>7.737492849914185</v>
      </c>
      <c r="N273" s="8" t="n">
        <v>50.04411</v>
      </c>
      <c r="O273" s="10" t="inlineStr">
        <is>
          <t>淨利 -$8.9M
經常 -$9.9M
一次: +$2.7M（營收 6%）</t>
        </is>
      </c>
      <c r="P273" s="10" t="inlineStr">
        <is>
          <t>淨利 -$13.6M
經常 -$10.0M
一次: +$2.7M（營收 6%）</t>
        </is>
      </c>
      <c r="Q273" s="10" t="inlineStr">
        <is>
          <t>淨利 -$12.5M
經常 -$9.6M
一次: +$1.9M（營收 4%）</t>
        </is>
      </c>
      <c r="R273" s="10" t="inlineStr">
        <is>
          <t>淨利 -$10.3M
經常 -$10.0M
一次: +$1.9M（營收 4%）</t>
        </is>
      </c>
      <c r="S273" s="11" t="n">
        <v>-0.17</v>
      </c>
      <c r="T273" s="9" t="n">
        <v>-20.49988768863205</v>
      </c>
      <c r="U273" s="9" t="n">
        <v>-20.94096506095444</v>
      </c>
      <c r="V273" s="9" t="n">
        <v>46.60717567539973</v>
      </c>
      <c r="W273" s="10" t="inlineStr">
        <is>
          <t>+$1.9M・營收 3.8%</t>
        </is>
      </c>
      <c r="X273" s="10" t="inlineStr">
        <is>
          <t>四季皆虧（擴大）：-10 → -10 → -10 → -10（百萬）</t>
        </is>
      </c>
      <c r="Y273" s="10" t="inlineStr">
        <is>
          <t>營運仍虧損且未見收窄</t>
        </is>
      </c>
      <c r="Z273" s="15" t="inlineStr">
        <is>
          <t>D</t>
        </is>
      </c>
      <c r="AA273" s="7" t="inlineStr">
        <is>
          <t>2026-06-30 / 2026-11-03</t>
        </is>
      </c>
    </row>
    <row r="274" ht="46" customHeight="1">
      <c r="A274" s="5" t="n">
        <v>273</v>
      </c>
      <c r="B274" s="6" t="inlineStr">
        <is>
          <t>CBIO</t>
        </is>
      </c>
      <c r="C274" s="7" t="inlineStr">
        <is>
          <t>Crescent Biopharma, Inc.</t>
        </is>
      </c>
      <c r="D274" s="7" t="inlineStr">
        <is>
          <t>Health Care</t>
        </is>
      </c>
      <c r="E274" s="7" t="inlineStr">
        <is>
          <t>Biotechnology</t>
        </is>
      </c>
      <c r="F274" s="8" t="n">
        <v>0.7755654667986546</v>
      </c>
      <c r="G274" s="5" t="inlineStr">
        <is>
          <t>USD</t>
        </is>
      </c>
      <c r="H274" s="7" t="inlineStr">
        <is>
          <t>2025-09-30 / 2025-12-31 / 2026-03-31 / 2026-06-30</t>
        </is>
      </c>
      <c r="I274" s="8" t="n">
        <v>0</v>
      </c>
      <c r="J274" s="8" t="n">
        <v>10.844</v>
      </c>
      <c r="K274" s="8" t="n">
        <v>1.039</v>
      </c>
      <c r="L274" s="8" t="n">
        <v>0</v>
      </c>
      <c r="M274" s="9" t="n"/>
      <c r="N274" s="8" t="n">
        <v>0.35714</v>
      </c>
      <c r="O274" s="10" t="inlineStr">
        <is>
          <t>淨利 -$24.6M
經常 -$25.9M
一次: 無重大</t>
        </is>
      </c>
      <c r="P274" s="10" t="inlineStr">
        <is>
          <t>淨利 -$92.4M
經常 -$91.5M
一次: 無重大</t>
        </is>
      </c>
      <c r="Q274" s="10" t="inlineStr">
        <is>
          <t>淨利 -$23.3M
經常 -$24.7M
一次: 無重大</t>
        </is>
      </c>
      <c r="R274" s="10" t="inlineStr">
        <is>
          <t>淨利 -$24.8M
經常 -$26.4M
一次: 無重大</t>
        </is>
      </c>
      <c r="S274" s="11" t="n">
        <v>-0.60667</v>
      </c>
      <c r="T274" s="9" t="n"/>
      <c r="U274" s="9" t="n"/>
      <c r="V274" s="9" t="n"/>
      <c r="W274" s="10" t="inlineStr">
        <is>
          <t>無重大</t>
        </is>
      </c>
      <c r="X274" s="10" t="inlineStr">
        <is>
          <t>四季皆虧（擴大）：-26 → -91 → -25 → -26（百萬）</t>
        </is>
      </c>
      <c r="Y274" s="10" t="inlineStr">
        <is>
          <t>營運仍虧損且未見收窄</t>
        </is>
      </c>
      <c r="Z274" s="15" t="inlineStr">
        <is>
          <t>D</t>
        </is>
      </c>
      <c r="AA274" s="7" t="inlineStr">
        <is>
          <t>2026-06-30</t>
        </is>
      </c>
    </row>
    <row r="275" ht="46" customHeight="1">
      <c r="A275" s="5" t="n">
        <v>274</v>
      </c>
      <c r="B275" s="6" t="inlineStr">
        <is>
          <t>HMY</t>
        </is>
      </c>
      <c r="C275" s="7" t="inlineStr">
        <is>
          <t>Harmony Gold Mining Company Limited</t>
        </is>
      </c>
      <c r="D275" s="7" t="inlineStr">
        <is>
          <t>Basic Materials</t>
        </is>
      </c>
      <c r="E275" s="7" t="inlineStr">
        <is>
          <t>Gold</t>
        </is>
      </c>
      <c r="F275" s="8" t="n">
        <v>12.86674176536065</v>
      </c>
      <c r="G275" s="5" t="inlineStr">
        <is>
          <t>ZAR</t>
        </is>
      </c>
      <c r="H275" s="7" t="inlineStr">
        <is>
          <t>—</t>
        </is>
      </c>
      <c r="I275" s="8" t="n"/>
      <c r="J275" s="8" t="n"/>
      <c r="K275" s="8" t="n"/>
      <c r="L275" s="8" t="n"/>
      <c r="M275" s="9" t="n"/>
      <c r="N275" s="8" t="n"/>
      <c r="O275" s="10" t="inlineStr">
        <is>
          <t>—</t>
        </is>
      </c>
      <c r="P275" s="10" t="inlineStr">
        <is>
          <t>—</t>
        </is>
      </c>
      <c r="Q275" s="10" t="inlineStr">
        <is>
          <t>—</t>
        </is>
      </c>
      <c r="R275" s="10" t="inlineStr">
        <is>
          <t>—</t>
        </is>
      </c>
      <c r="S275" s="11" t="n"/>
      <c r="T275" s="9" t="n"/>
      <c r="U275" s="9" t="n"/>
      <c r="V275" s="9" t="n"/>
      <c r="W275" s="10" t="inlineStr">
        <is>
          <t>無重大</t>
        </is>
      </c>
      <c r="X275" s="10" t="inlineStr">
        <is>
          <t>—</t>
        </is>
      </c>
      <c r="Y275" s="10" t="inlineStr">
        <is>
          <t>無足夠財報數據</t>
        </is>
      </c>
      <c r="Z275" s="16" t="inlineStr">
        <is>
          <t>—</t>
        </is>
      </c>
      <c r="AA275" s="7" t="inlineStr">
        <is>
          <t>— / 2026-08-27</t>
        </is>
      </c>
    </row>
  </sheetData>
  <autoFilter ref="A1:AA275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14" customWidth="1" min="5" max="5"/>
    <col width="10" customWidth="1" min="6" max="6"/>
    <col width="12" customWidth="1" min="7" max="7"/>
    <col width="13" customWidth="1" min="8" max="8"/>
    <col width="15" customWidth="1" min="9" max="9"/>
    <col width="24" customWidth="1" min="10" max="10"/>
    <col width="5" customWidth="1" min="11" max="11"/>
  </cols>
  <sheetData>
    <row r="1">
      <c r="A1" s="17" t="inlineStr">
        <is>
          <t>最新一季（Q0）帳上一次性 / 非經常項目 — 金額達營收 2% 或 5,000 萬以上者</t>
        </is>
      </c>
    </row>
    <row r="2">
      <c r="A2" s="18" t="inlineStr">
        <is>
          <t>正數＝令帳面淨利「好看」的一次性收益（資產出售、和解收益、稅務優惠）；負數＝一次性支出（減值、重組、訴訟）。看到「轉正」頭條前，先看這一欄。金額為稅後（已扣 Tax Effect Of Unusual Items）。</t>
        </is>
      </c>
    </row>
    <row r="4" ht="34" customHeight="1">
      <c r="A4" s="4" t="inlineStr">
        <is>
          <t>代號</t>
        </is>
      </c>
      <c r="B4" s="4" t="inlineStr">
        <is>
          <t>公司</t>
        </is>
      </c>
      <c r="C4" s="4" t="inlineStr">
        <is>
          <t>板塊</t>
        </is>
      </c>
      <c r="D4" s="4" t="inlineStr">
        <is>
          <t>Q0 期末</t>
        </is>
      </c>
      <c r="E4" s="4" t="inlineStr">
        <is>
          <t>一次性項目
(稅後・百萬)</t>
        </is>
      </c>
      <c r="F4" s="4" t="inlineStr">
        <is>
          <t>佔營收 %</t>
        </is>
      </c>
      <c r="G4" s="4" t="inlineStr">
        <is>
          <t>Q0 淨利
(百萬)</t>
        </is>
      </c>
      <c r="H4" s="4" t="inlineStr">
        <is>
          <t>Q0 營運利潤
(百萬)</t>
        </is>
      </c>
      <c r="I4" s="4" t="inlineStr">
        <is>
          <t>剔一次性後淨利
(百萬)</t>
        </is>
      </c>
      <c r="J4" s="4" t="inlineStr">
        <is>
          <t>方向</t>
        </is>
      </c>
      <c r="K4" s="4" t="inlineStr">
        <is>
          <t>級</t>
        </is>
      </c>
    </row>
    <row r="5">
      <c r="A5" s="19" t="inlineStr">
        <is>
          <t>GOOGL</t>
        </is>
      </c>
      <c r="B5" s="20" t="inlineStr">
        <is>
          <t>Alphabet Inc.</t>
        </is>
      </c>
      <c r="C5" s="20" t="inlineStr">
        <is>
          <t>Technology</t>
        </is>
      </c>
      <c r="D5" s="20" t="inlineStr">
        <is>
          <t>2026-06-30</t>
        </is>
      </c>
      <c r="E5" s="21" t="n">
        <v>79960.751</v>
      </c>
      <c r="F5" s="22" t="n">
        <v>66.74742979732213</v>
      </c>
      <c r="G5" s="21" t="n">
        <v>112107</v>
      </c>
      <c r="H5" s="21" t="n">
        <v>40770</v>
      </c>
      <c r="I5" s="21" t="n">
        <v>32146.249</v>
      </c>
      <c r="J5" s="23" t="inlineStr">
        <is>
          <t>帳面被一次性收益美化</t>
        </is>
      </c>
      <c r="K5" s="20" t="inlineStr">
        <is>
          <t>A</t>
        </is>
      </c>
    </row>
    <row r="6">
      <c r="A6" s="19" t="inlineStr">
        <is>
          <t>TSM</t>
        </is>
      </c>
      <c r="B6" s="20" t="inlineStr">
        <is>
          <t>Taiwan Semiconductor Manufacturing Company Limited</t>
        </is>
      </c>
      <c r="C6" s="20" t="inlineStr">
        <is>
          <t>Technology</t>
        </is>
      </c>
      <c r="D6" s="20" t="inlineStr">
        <is>
          <t>2026-06-30</t>
        </is>
      </c>
      <c r="E6" s="21" t="n">
        <v>53436.07280635295</v>
      </c>
      <c r="F6" s="22" t="n">
        <v>4.20630538032632</v>
      </c>
      <c r="G6" s="21" t="n">
        <v>706561.938</v>
      </c>
      <c r="H6" s="21" t="n">
        <v>766568.191</v>
      </c>
      <c r="I6" s="21" t="n">
        <v>653125.865193647</v>
      </c>
      <c r="J6" s="23" t="inlineStr">
        <is>
          <t>帳面被一次性收益美化</t>
        </is>
      </c>
      <c r="K6" s="20" t="inlineStr">
        <is>
          <t>A</t>
        </is>
      </c>
    </row>
    <row r="7">
      <c r="A7" s="19" t="inlineStr">
        <is>
          <t>AMZN</t>
        </is>
      </c>
      <c r="B7" s="20" t="inlineStr">
        <is>
          <t>Amazon.com, Inc.</t>
        </is>
      </c>
      <c r="C7" s="20" t="inlineStr">
        <is>
          <t>Consumer Discretionary</t>
        </is>
      </c>
      <c r="D7" s="20" t="inlineStr">
        <is>
          <t>2026-03-31</t>
        </is>
      </c>
      <c r="E7" s="21" t="n">
        <v>11916.8629813727</v>
      </c>
      <c r="F7" s="22" t="n">
        <v>6.565077474739667</v>
      </c>
      <c r="G7" s="21" t="n">
        <v>30255</v>
      </c>
      <c r="H7" s="21" t="n">
        <v>23852</v>
      </c>
      <c r="I7" s="21" t="n">
        <v>18338.13701862731</v>
      </c>
      <c r="J7" s="23" t="inlineStr">
        <is>
          <t>帳面被一次性收益美化</t>
        </is>
      </c>
      <c r="K7" s="20" t="inlineStr">
        <is>
          <t>A</t>
        </is>
      </c>
    </row>
    <row r="8">
      <c r="A8" s="19" t="inlineStr">
        <is>
          <t>INTC</t>
        </is>
      </c>
      <c r="B8" s="20" t="inlineStr">
        <is>
          <t>Intel Corporation</t>
        </is>
      </c>
      <c r="C8" s="20" t="inlineStr">
        <is>
          <t>Technology</t>
        </is>
      </c>
      <c r="D8" s="20" t="inlineStr">
        <is>
          <t>2026-06-30</t>
        </is>
      </c>
      <c r="E8" s="21" t="n">
        <v>-7642.8</v>
      </c>
      <c r="F8" s="22" t="n">
        <v>-47.38839285714286</v>
      </c>
      <c r="G8" s="21" t="n">
        <v>-11033</v>
      </c>
      <c r="H8" s="21" t="n">
        <v>1966</v>
      </c>
      <c r="I8" s="21" t="n">
        <v>-3390.2</v>
      </c>
      <c r="J8" s="23" t="inlineStr">
        <is>
          <t>帳面被一次性支出壓低</t>
        </is>
      </c>
      <c r="K8" s="20" t="inlineStr">
        <is>
          <t>B</t>
        </is>
      </c>
    </row>
    <row r="9">
      <c r="A9" s="19" t="inlineStr">
        <is>
          <t>GILD</t>
        </is>
      </c>
      <c r="B9" s="20" t="inlineStr">
        <is>
          <t>Gilead Sciences, Inc.</t>
        </is>
      </c>
      <c r="C9" s="20" t="inlineStr">
        <is>
          <t>Health Care</t>
        </is>
      </c>
      <c r="D9" s="20" t="inlineStr">
        <is>
          <t>2026-06-30</t>
        </is>
      </c>
      <c r="E9" s="21" t="n">
        <v>-7554</v>
      </c>
      <c r="F9" s="22" t="n">
        <v>-96.80891964628989</v>
      </c>
      <c r="G9" s="21" t="n">
        <v>-10496</v>
      </c>
      <c r="H9" s="21" t="n">
        <v>2539</v>
      </c>
      <c r="I9" s="21" t="n">
        <v>-2942</v>
      </c>
      <c r="J9" s="23" t="inlineStr">
        <is>
          <t>帳面被一次性支出壓低</t>
        </is>
      </c>
      <c r="K9" s="20" t="inlineStr">
        <is>
          <t>B</t>
        </is>
      </c>
    </row>
    <row r="10">
      <c r="A10" s="19" t="inlineStr">
        <is>
          <t>LITE</t>
        </is>
      </c>
      <c r="B10" s="20" t="inlineStr">
        <is>
          <t>Lumentum Holdings Inc.</t>
        </is>
      </c>
      <c r="C10" s="20" t="inlineStr">
        <is>
          <t>Telecommunications</t>
        </is>
      </c>
      <c r="D10" s="20" t="inlineStr">
        <is>
          <t>2026-06-30</t>
        </is>
      </c>
      <c r="E10" s="21" t="n">
        <v>-7450.92194601987</v>
      </c>
      <c r="F10" s="22" t="n">
        <v>-740.4275013435229</v>
      </c>
      <c r="G10" s="21" t="n">
        <v>-7160.8</v>
      </c>
      <c r="H10" s="21" t="n">
        <v>281.7</v>
      </c>
      <c r="I10" s="21" t="n">
        <v>290.1219460198699</v>
      </c>
      <c r="J10" s="23" t="inlineStr">
        <is>
          <t>帳面被一次性支出壓低（剔除後盈虧號相反）</t>
        </is>
      </c>
      <c r="K10" s="20" t="inlineStr">
        <is>
          <t>B</t>
        </is>
      </c>
    </row>
    <row r="11">
      <c r="A11" s="19" t="inlineStr">
        <is>
          <t>NVDA</t>
        </is>
      </c>
      <c r="B11" s="20" t="inlineStr">
        <is>
          <t>NVIDIA Corporation</t>
        </is>
      </c>
      <c r="C11" s="20" t="inlineStr">
        <is>
          <t>Technology</t>
        </is>
      </c>
      <c r="D11" s="20" t="inlineStr">
        <is>
          <t>2026-07-31</t>
        </is>
      </c>
      <c r="E11" s="21" t="n">
        <v>6488.785</v>
      </c>
      <c r="F11" s="22" t="n">
        <v>6.743626651146839</v>
      </c>
      <c r="G11" s="21" t="n">
        <v>59688</v>
      </c>
      <c r="H11" s="21" t="n">
        <v>63734</v>
      </c>
      <c r="I11" s="21" t="n">
        <v>53199.215</v>
      </c>
      <c r="J11" s="23" t="inlineStr">
        <is>
          <t>帳面被一次性收益美化</t>
        </is>
      </c>
      <c r="K11" s="20" t="inlineStr">
        <is>
          <t>A</t>
        </is>
      </c>
    </row>
    <row r="12">
      <c r="A12" s="19" t="inlineStr">
        <is>
          <t>WDC</t>
        </is>
      </c>
      <c r="B12" s="20" t="inlineStr">
        <is>
          <t>Western Digital Corporation</t>
        </is>
      </c>
      <c r="C12" s="20" t="inlineStr">
        <is>
          <t>Technology</t>
        </is>
      </c>
      <c r="D12" s="20" t="inlineStr">
        <is>
          <t>2026-06-30</t>
        </is>
      </c>
      <c r="E12" s="21" t="n">
        <v>6351.624576532184</v>
      </c>
      <c r="F12" s="22" t="n">
        <v>169.5122651863406</v>
      </c>
      <c r="G12" s="21" t="n">
        <v>3180</v>
      </c>
      <c r="H12" s="21" t="n">
        <v>1606</v>
      </c>
      <c r="I12" s="21" t="n">
        <v>-3171.624576532184</v>
      </c>
      <c r="J12" s="23" t="inlineStr">
        <is>
          <t>帳面被一次性收益美化（剔除後盈虧號相反）</t>
        </is>
      </c>
      <c r="K12" s="20" t="inlineStr">
        <is>
          <t>A</t>
        </is>
      </c>
    </row>
    <row r="13">
      <c r="A13" s="19" t="inlineStr">
        <is>
          <t>JPM</t>
        </is>
      </c>
      <c r="B13" s="20" t="inlineStr">
        <is>
          <t>JPMorgan Chase &amp; Co.</t>
        </is>
      </c>
      <c r="C13" s="20" t="inlineStr">
        <is>
          <t>Finance</t>
        </is>
      </c>
      <c r="D13" s="20" t="inlineStr">
        <is>
          <t>2026-06-30</t>
        </is>
      </c>
      <c r="E13" s="21" t="n">
        <v>3377.450029073993</v>
      </c>
      <c r="F13" s="22" t="n">
        <v>6.390392093154455</v>
      </c>
      <c r="G13" s="21" t="n">
        <v>20752</v>
      </c>
      <c r="H13" s="21" t="n">
        <v>24138.54997092601</v>
      </c>
      <c r="I13" s="21" t="n">
        <v>17374.54997092601</v>
      </c>
      <c r="J13" s="23" t="inlineStr">
        <is>
          <t>帳面被一次性收益美化</t>
        </is>
      </c>
      <c r="K13" s="20" t="inlineStr">
        <is>
          <t>A</t>
        </is>
      </c>
    </row>
    <row r="14">
      <c r="A14" s="19" t="inlineStr">
        <is>
          <t>LLY</t>
        </is>
      </c>
      <c r="B14" s="20" t="inlineStr">
        <is>
          <t>Eli Lilly and Company</t>
        </is>
      </c>
      <c r="C14" s="20" t="inlineStr">
        <is>
          <t>Health Care</t>
        </is>
      </c>
      <c r="D14" s="20" t="inlineStr">
        <is>
          <t>2026-06-30</t>
        </is>
      </c>
      <c r="E14" s="21" t="n">
        <v>-2669.352763058289</v>
      </c>
      <c r="F14" s="22" t="n">
        <v>-11.61901611847431</v>
      </c>
      <c r="G14" s="21" t="n">
        <v>7095</v>
      </c>
      <c r="H14" s="21" t="n">
        <v>12457</v>
      </c>
      <c r="I14" s="21" t="n">
        <v>9764.352763058288</v>
      </c>
      <c r="J14" s="23" t="inlineStr">
        <is>
          <t>帳面被一次性支出壓低</t>
        </is>
      </c>
      <c r="K14" s="20" t="inlineStr">
        <is>
          <t>A</t>
        </is>
      </c>
    </row>
    <row r="15">
      <c r="A15" s="19" t="inlineStr">
        <is>
          <t>MSFT</t>
        </is>
      </c>
      <c r="B15" s="20" t="inlineStr">
        <is>
          <t>Microsoft Corporation</t>
        </is>
      </c>
      <c r="C15" s="20" t="inlineStr">
        <is>
          <t>Technology</t>
        </is>
      </c>
      <c r="D15" s="20" t="inlineStr">
        <is>
          <t>2026-06-30</t>
        </is>
      </c>
      <c r="E15" s="21" t="n">
        <v>2381.585079574091</v>
      </c>
      <c r="F15" s="22" t="n">
        <v>2.645999843983347</v>
      </c>
      <c r="G15" s="21" t="n">
        <v>35766</v>
      </c>
      <c r="H15" s="21" t="n">
        <v>40603</v>
      </c>
      <c r="I15" s="21" t="n">
        <v>33384.41492042591</v>
      </c>
      <c r="J15" s="23" t="inlineStr">
        <is>
          <t>帳面被一次性收益美化</t>
        </is>
      </c>
      <c r="K15" s="20" t="inlineStr">
        <is>
          <t>A</t>
        </is>
      </c>
    </row>
    <row r="16">
      <c r="A16" s="19" t="inlineStr">
        <is>
          <t>CRM</t>
        </is>
      </c>
      <c r="B16" s="20" t="inlineStr">
        <is>
          <t>Salesforce, Inc.</t>
        </is>
      </c>
      <c r="C16" s="20" t="inlineStr">
        <is>
          <t>Technology</t>
        </is>
      </c>
      <c r="D16" s="20" t="inlineStr">
        <is>
          <t>2026-07-31</t>
        </is>
      </c>
      <c r="E16" s="21" t="n">
        <v>1939.63</v>
      </c>
      <c r="F16" s="22" t="n">
        <v>17.09678272366681</v>
      </c>
      <c r="G16" s="21" t="n">
        <v>3526</v>
      </c>
      <c r="H16" s="21" t="n">
        <v>2425</v>
      </c>
      <c r="I16" s="21" t="n">
        <v>1586.37</v>
      </c>
      <c r="J16" s="23" t="inlineStr">
        <is>
          <t>帳面被一次性收益美化</t>
        </is>
      </c>
      <c r="K16" s="20" t="inlineStr">
        <is>
          <t>A</t>
        </is>
      </c>
    </row>
    <row r="17">
      <c r="A17" s="19" t="inlineStr">
        <is>
          <t>CME</t>
        </is>
      </c>
      <c r="B17" s="20" t="inlineStr">
        <is>
          <t>CME Group Inc.</t>
        </is>
      </c>
      <c r="C17" s="20" t="inlineStr">
        <is>
          <t>Finance</t>
        </is>
      </c>
      <c r="D17" s="20" t="inlineStr">
        <is>
          <t>2026-06-30</t>
        </is>
      </c>
      <c r="E17" s="21" t="n">
        <v>1122.3145</v>
      </c>
      <c r="F17" s="22" t="n">
        <v>65.77860157074198</v>
      </c>
      <c r="G17" s="21" t="n">
        <v>1041.8</v>
      </c>
      <c r="H17" s="21" t="n">
        <v>1107.1</v>
      </c>
      <c r="I17" s="21" t="n">
        <v>-80.5145</v>
      </c>
      <c r="J17" s="23" t="inlineStr">
        <is>
          <t>帳面被一次性收益美化（剔除後盈虧號相反）</t>
        </is>
      </c>
      <c r="K17" s="20" t="inlineStr">
        <is>
          <t>A</t>
        </is>
      </c>
    </row>
    <row r="18">
      <c r="A18" s="19" t="inlineStr">
        <is>
          <t>KKR</t>
        </is>
      </c>
      <c r="B18" s="20" t="inlineStr">
        <is>
          <t>KKR &amp; Co. Inc.</t>
        </is>
      </c>
      <c r="C18" s="20" t="inlineStr">
        <is>
          <t>Finance</t>
        </is>
      </c>
      <c r="D18" s="20" t="inlineStr">
        <is>
          <t>2026-06-30</t>
        </is>
      </c>
      <c r="E18" s="21" t="n">
        <v>893.766872</v>
      </c>
      <c r="F18" s="22" t="n">
        <v>15.79835880466792</v>
      </c>
      <c r="G18" s="21" t="n">
        <v>660.053</v>
      </c>
      <c r="H18" s="21" t="n">
        <v>325.714</v>
      </c>
      <c r="I18" s="21" t="n">
        <v>-233.713872</v>
      </c>
      <c r="J18" s="23" t="inlineStr">
        <is>
          <t>帳面被一次性收益美化（剔除後盈虧號相反）</t>
        </is>
      </c>
      <c r="K18" s="20" t="inlineStr">
        <is>
          <t>A</t>
        </is>
      </c>
    </row>
    <row r="19">
      <c r="A19" s="19" t="inlineStr">
        <is>
          <t>CEG</t>
        </is>
      </c>
      <c r="B19" s="20" t="inlineStr">
        <is>
          <t>Constellation Energy Corporation</t>
        </is>
      </c>
      <c r="C19" s="20" t="inlineStr">
        <is>
          <t>Utilities</t>
        </is>
      </c>
      <c r="D19" s="20" t="inlineStr">
        <is>
          <t>2026-06-30</t>
        </is>
      </c>
      <c r="E19" s="21" t="n">
        <v>736.8</v>
      </c>
      <c r="F19" s="22" t="n">
        <v>9.818763326226012</v>
      </c>
      <c r="G19" s="21" t="n">
        <v>513</v>
      </c>
      <c r="H19" s="21" t="n">
        <v>-47</v>
      </c>
      <c r="I19" s="21" t="n">
        <v>-223.8</v>
      </c>
      <c r="J19" s="23" t="inlineStr">
        <is>
          <t>帳面被一次性收益美化（剔除後盈虧號相反）</t>
        </is>
      </c>
      <c r="K19" s="20" t="inlineStr">
        <is>
          <t>B</t>
        </is>
      </c>
    </row>
    <row r="20">
      <c r="A20" s="19" t="inlineStr">
        <is>
          <t>QCOM</t>
        </is>
      </c>
      <c r="B20" s="20" t="inlineStr">
        <is>
          <t>QUALCOMM Incorporated</t>
        </is>
      </c>
      <c r="C20" s="20" t="inlineStr">
        <is>
          <t>Technology</t>
        </is>
      </c>
      <c r="D20" s="20" t="inlineStr">
        <is>
          <t>2026-06-30</t>
        </is>
      </c>
      <c r="E20" s="21" t="n">
        <v>568.62</v>
      </c>
      <c r="F20" s="22" t="n">
        <v>5.716497436412989</v>
      </c>
      <c r="G20" s="21" t="n">
        <v>2002</v>
      </c>
      <c r="H20" s="21" t="n">
        <v>1626</v>
      </c>
      <c r="I20" s="21" t="n">
        <v>1433.38</v>
      </c>
      <c r="J20" s="23" t="inlineStr">
        <is>
          <t>帳面被一次性收益美化</t>
        </is>
      </c>
      <c r="K20" s="20" t="inlineStr">
        <is>
          <t>A</t>
        </is>
      </c>
    </row>
    <row r="21">
      <c r="A21" s="19" t="inlineStr">
        <is>
          <t>IREN</t>
        </is>
      </c>
      <c r="B21" s="20" t="inlineStr">
        <is>
          <t>IREN Limited</t>
        </is>
      </c>
      <c r="C21" s="20" t="inlineStr">
        <is>
          <t>Finance</t>
        </is>
      </c>
      <c r="D21" s="20" t="inlineStr">
        <is>
          <t>2026-06-30</t>
        </is>
      </c>
      <c r="E21" s="21" t="n">
        <v>-556.3323928071819</v>
      </c>
      <c r="F21" s="22" t="n">
        <v>-405.4162090050515</v>
      </c>
      <c r="G21" s="21" t="n">
        <v>-683.999</v>
      </c>
      <c r="H21" s="21" t="n">
        <v>-140.615</v>
      </c>
      <c r="I21" s="21" t="n">
        <v>-127.6666071928181</v>
      </c>
      <c r="J21" s="23" t="inlineStr">
        <is>
          <t>帳面被一次性支出壓低</t>
        </is>
      </c>
      <c r="K21" s="20" t="inlineStr">
        <is>
          <t>D</t>
        </is>
      </c>
    </row>
    <row r="22">
      <c r="A22" s="19" t="inlineStr">
        <is>
          <t>HSBC</t>
        </is>
      </c>
      <c r="B22" s="20" t="inlineStr">
        <is>
          <t>HSBC Holdings plc</t>
        </is>
      </c>
      <c r="C22" s="20" t="inlineStr">
        <is>
          <t>Finance</t>
        </is>
      </c>
      <c r="D22" s="20" t="inlineStr">
        <is>
          <t>2026-03-31</t>
        </is>
      </c>
      <c r="E22" s="21" t="n">
        <v>-535.731</v>
      </c>
      <c r="F22" s="22" t="n">
        <v>-2.801207843137255</v>
      </c>
      <c r="G22" s="21" t="n">
        <v>6938</v>
      </c>
      <c r="H22" s="21" t="n">
        <v>9911.731</v>
      </c>
      <c r="I22" s="21" t="n">
        <v>7473.731</v>
      </c>
      <c r="J22" s="23" t="inlineStr">
        <is>
          <t>帳面被一次性支出壓低</t>
        </is>
      </c>
      <c r="K22" s="20" t="inlineStr">
        <is>
          <t>A</t>
        </is>
      </c>
    </row>
    <row r="23">
      <c r="A23" s="19" t="inlineStr">
        <is>
          <t>DELL</t>
        </is>
      </c>
      <c r="B23" s="20" t="inlineStr">
        <is>
          <t>Dell Technologies Inc.</t>
        </is>
      </c>
      <c r="C23" s="20" t="inlineStr">
        <is>
          <t>Technology</t>
        </is>
      </c>
      <c r="D23" s="20" t="inlineStr">
        <is>
          <t>2026-04-30</t>
        </is>
      </c>
      <c r="E23" s="21" t="n">
        <v>442.376899696049</v>
      </c>
      <c r="F23" s="22" t="n">
        <v>1.009025363113109</v>
      </c>
      <c r="G23" s="21" t="n">
        <v>3438</v>
      </c>
      <c r="H23" s="21" t="n">
        <v>3762</v>
      </c>
      <c r="I23" s="21" t="n">
        <v>2995.623100303951</v>
      </c>
      <c r="J23" s="23" t="inlineStr">
        <is>
          <t>帳面被一次性收益美化</t>
        </is>
      </c>
      <c r="K23" s="20" t="inlineStr">
        <is>
          <t>A</t>
        </is>
      </c>
    </row>
    <row r="24">
      <c r="A24" s="19" t="inlineStr">
        <is>
          <t>ORCL</t>
        </is>
      </c>
      <c r="B24" s="20" t="inlineStr">
        <is>
          <t>Oracle Corporation</t>
        </is>
      </c>
      <c r="C24" s="20" t="inlineStr">
        <is>
          <t>Technology</t>
        </is>
      </c>
      <c r="D24" s="20" t="inlineStr">
        <is>
          <t>2026-05-31</t>
        </is>
      </c>
      <c r="E24" s="21" t="n">
        <v>-373.563792140063</v>
      </c>
      <c r="F24" s="22" t="n">
        <v>-1.947267473624182</v>
      </c>
      <c r="G24" s="21" t="n">
        <v>4223</v>
      </c>
      <c r="H24" s="21" t="n">
        <v>6955</v>
      </c>
      <c r="I24" s="21" t="n">
        <v>4596.563792140063</v>
      </c>
      <c r="J24" s="23" t="inlineStr">
        <is>
          <t>帳面被一次性支出壓低</t>
        </is>
      </c>
      <c r="K24" s="20" t="inlineStr">
        <is>
          <t>A</t>
        </is>
      </c>
    </row>
    <row r="25">
      <c r="A25" s="19" t="inlineStr">
        <is>
          <t>PNC</t>
        </is>
      </c>
      <c r="B25" s="20" t="inlineStr">
        <is>
          <t>The PNC Financial Services Group, Inc.</t>
        </is>
      </c>
      <c r="C25" s="20" t="inlineStr">
        <is>
          <t>Finance</t>
        </is>
      </c>
      <c r="D25" s="20" t="inlineStr">
        <is>
          <t>2026-06-30</t>
        </is>
      </c>
      <c r="E25" s="21" t="n">
        <v>356.009280742459</v>
      </c>
      <c r="F25" s="22" t="n">
        <v>5.537552974684383</v>
      </c>
      <c r="G25" s="21" t="n">
        <v>1941</v>
      </c>
      <c r="H25" s="21" t="n">
        <v>2229.990719257541</v>
      </c>
      <c r="I25" s="21" t="n">
        <v>1584.990719257541</v>
      </c>
      <c r="J25" s="23" t="inlineStr">
        <is>
          <t>帳面被一次性收益美化</t>
        </is>
      </c>
      <c r="K25" s="20" t="inlineStr">
        <is>
          <t>A</t>
        </is>
      </c>
    </row>
    <row r="26">
      <c r="A26" s="19" t="inlineStr">
        <is>
          <t>SNPS</t>
        </is>
      </c>
      <c r="B26" s="20" t="inlineStr">
        <is>
          <t>Synopsys, Inc.</t>
        </is>
      </c>
      <c r="C26" s="20" t="inlineStr">
        <is>
          <t>Technology</t>
        </is>
      </c>
      <c r="D26" s="20" t="inlineStr">
        <is>
          <t>2026-07-31</t>
        </is>
      </c>
      <c r="E26" s="21" t="n">
        <v>339.907302</v>
      </c>
      <c r="F26" s="22" t="n">
        <v>13.72352563082854</v>
      </c>
      <c r="G26" s="21" t="n">
        <v>545.8</v>
      </c>
      <c r="H26" s="21" t="n">
        <v>359.655</v>
      </c>
      <c r="I26" s="21" t="n">
        <v>205.8926979999999</v>
      </c>
      <c r="J26" s="23" t="inlineStr">
        <is>
          <t>帳面被一次性收益美化</t>
        </is>
      </c>
      <c r="K26" s="20" t="inlineStr">
        <is>
          <t>A</t>
        </is>
      </c>
    </row>
    <row r="27">
      <c r="A27" s="19" t="inlineStr">
        <is>
          <t>CNC</t>
        </is>
      </c>
      <c r="B27" s="20" t="inlineStr">
        <is>
          <t>Centene Corporation</t>
        </is>
      </c>
      <c r="C27" s="20" t="inlineStr">
        <is>
          <t>Health Care</t>
        </is>
      </c>
      <c r="D27" s="20" t="inlineStr">
        <is>
          <t>2026-06-30</t>
        </is>
      </c>
      <c r="E27" s="21" t="n">
        <v>322.371</v>
      </c>
      <c r="F27" s="22" t="n">
        <v>0.6016741633849082</v>
      </c>
      <c r="G27" s="21" t="n">
        <v>1091</v>
      </c>
      <c r="H27" s="21" t="n">
        <v>1198</v>
      </c>
      <c r="I27" s="21" t="n">
        <v>768.629</v>
      </c>
      <c r="J27" s="23" t="inlineStr">
        <is>
          <t>帳面被一次性收益美化</t>
        </is>
      </c>
      <c r="K27" s="20" t="inlineStr">
        <is>
          <t>B</t>
        </is>
      </c>
    </row>
    <row r="28">
      <c r="A28" s="19" t="inlineStr">
        <is>
          <t>COIN</t>
        </is>
      </c>
      <c r="B28" s="20" t="inlineStr">
        <is>
          <t>Coinbase Global, Inc.</t>
        </is>
      </c>
      <c r="C28" s="20" t="inlineStr">
        <is>
          <t>Finance</t>
        </is>
      </c>
      <c r="D28" s="20" t="inlineStr">
        <is>
          <t>2026-06-30</t>
        </is>
      </c>
      <c r="E28" s="21" t="n">
        <v>-319.789836</v>
      </c>
      <c r="F28" s="22" t="n">
        <v>-26.21082070835396</v>
      </c>
      <c r="G28" s="21" t="n">
        <v>-359.468</v>
      </c>
      <c r="H28" s="21" t="n">
        <v>-29.361</v>
      </c>
      <c r="I28" s="21" t="n">
        <v>-39.67816400000004</v>
      </c>
      <c r="J28" s="23" t="inlineStr">
        <is>
          <t>帳面被一次性支出壓低</t>
        </is>
      </c>
      <c r="K28" s="20" t="inlineStr">
        <is>
          <t>D</t>
        </is>
      </c>
    </row>
    <row r="29">
      <c r="A29" s="19" t="inlineStr">
        <is>
          <t>KO</t>
        </is>
      </c>
      <c r="B29" s="20" t="inlineStr">
        <is>
          <t>The Coca-Cola Company</t>
        </is>
      </c>
      <c r="C29" s="20" t="inlineStr">
        <is>
          <t>Consumer Staples</t>
        </is>
      </c>
      <c r="D29" s="20" t="inlineStr">
        <is>
          <t>2026-06-30</t>
        </is>
      </c>
      <c r="E29" s="21" t="n">
        <v>295.056073059361</v>
      </c>
      <c r="F29" s="22" t="n">
        <v>2.205202339756061</v>
      </c>
      <c r="G29" s="21" t="n">
        <v>4425</v>
      </c>
      <c r="H29" s="21" t="n">
        <v>4695</v>
      </c>
      <c r="I29" s="21" t="n">
        <v>4129.943926940639</v>
      </c>
      <c r="J29" s="23" t="inlineStr">
        <is>
          <t>帳面被一次性收益美化</t>
        </is>
      </c>
      <c r="K29" s="20" t="inlineStr">
        <is>
          <t>A</t>
        </is>
      </c>
    </row>
    <row r="30">
      <c r="A30" s="19" t="inlineStr">
        <is>
          <t>PBR</t>
        </is>
      </c>
      <c r="B30" s="20" t="inlineStr">
        <is>
          <t>Petróleo Brasileiro S.A. - Petrobras</t>
        </is>
      </c>
      <c r="C30" s="20" t="inlineStr">
        <is>
          <t>Energy</t>
        </is>
      </c>
      <c r="D30" s="20" t="inlineStr">
        <is>
          <t>2026-06-30</t>
        </is>
      </c>
      <c r="E30" s="21" t="n">
        <v>258.958</v>
      </c>
      <c r="F30" s="22" t="n">
        <v>0.7705478025411372</v>
      </c>
      <c r="G30" s="21" t="n">
        <v>10428</v>
      </c>
      <c r="H30" s="21" t="n">
        <v>14553</v>
      </c>
      <c r="I30" s="21" t="n">
        <v>10169.042</v>
      </c>
      <c r="J30" s="23" t="inlineStr">
        <is>
          <t>帳面被一次性收益美化</t>
        </is>
      </c>
      <c r="K30" s="20" t="inlineStr">
        <is>
          <t>A</t>
        </is>
      </c>
    </row>
    <row r="31">
      <c r="A31" s="19" t="inlineStr">
        <is>
          <t>ABBV</t>
        </is>
      </c>
      <c r="B31" s="20" t="inlineStr">
        <is>
          <t>AbbVie Inc.</t>
        </is>
      </c>
      <c r="C31" s="20" t="inlineStr">
        <is>
          <t>Health Care</t>
        </is>
      </c>
      <c r="D31" s="20" t="inlineStr">
        <is>
          <t>2026-06-30</t>
        </is>
      </c>
      <c r="E31" s="21" t="n">
        <v>-245.969144460028</v>
      </c>
      <c r="F31" s="22" t="n">
        <v>-1.447728925603461</v>
      </c>
      <c r="G31" s="21" t="n">
        <v>3601</v>
      </c>
      <c r="H31" s="21" t="n">
        <v>6723</v>
      </c>
      <c r="I31" s="21" t="n">
        <v>3846.969144460028</v>
      </c>
      <c r="J31" s="23" t="inlineStr">
        <is>
          <t>帳面被一次性支出壓低</t>
        </is>
      </c>
      <c r="K31" s="20" t="inlineStr">
        <is>
          <t>A</t>
        </is>
      </c>
    </row>
    <row r="32">
      <c r="A32" s="19" t="inlineStr">
        <is>
          <t>CM</t>
        </is>
      </c>
      <c r="B32" s="20" t="inlineStr">
        <is>
          <t>Canadian Imperial Bank of Commerce</t>
        </is>
      </c>
      <c r="C32" s="20" t="inlineStr">
        <is>
          <t>Finance</t>
        </is>
      </c>
      <c r="D32" s="20" t="inlineStr">
        <is>
          <t>2026-07-31</t>
        </is>
      </c>
      <c r="E32" s="21" t="n">
        <v>-207.765630009618</v>
      </c>
      <c r="F32" s="22" t="n">
        <v>-2.4941852342091</v>
      </c>
      <c r="G32" s="21" t="n">
        <v>2271</v>
      </c>
      <c r="H32" s="21" t="n">
        <v>3326.765630009618</v>
      </c>
      <c r="I32" s="21" t="n">
        <v>2478.765630009618</v>
      </c>
      <c r="J32" s="23" t="inlineStr">
        <is>
          <t>帳面被一次性支出壓低</t>
        </is>
      </c>
      <c r="K32" s="20" t="inlineStr">
        <is>
          <t>A</t>
        </is>
      </c>
    </row>
    <row r="33">
      <c r="A33" s="19" t="inlineStr">
        <is>
          <t>CVE</t>
        </is>
      </c>
      <c r="B33" s="20" t="inlineStr">
        <is>
          <t>Cenovus Energy Inc.</t>
        </is>
      </c>
      <c r="C33" s="20" t="inlineStr">
        <is>
          <t>Energy</t>
        </is>
      </c>
      <c r="D33" s="20" t="inlineStr">
        <is>
          <t>2026-06-30</t>
        </is>
      </c>
      <c r="E33" s="21" t="n">
        <v>-188.566717402334</v>
      </c>
      <c r="F33" s="22" t="n">
        <v>-0.9878809587297465</v>
      </c>
      <c r="G33" s="21" t="n">
        <v>2870</v>
      </c>
      <c r="H33" s="21" t="n">
        <v>4281</v>
      </c>
      <c r="I33" s="21" t="n">
        <v>3058.566717402334</v>
      </c>
      <c r="J33" s="23" t="inlineStr">
        <is>
          <t>帳面被一次性支出壓低</t>
        </is>
      </c>
      <c r="K33" s="20" t="inlineStr">
        <is>
          <t>A</t>
        </is>
      </c>
    </row>
    <row r="34">
      <c r="A34" s="19" t="inlineStr">
        <is>
          <t>NEE</t>
        </is>
      </c>
      <c r="B34" s="20" t="inlineStr">
        <is>
          <t>NextEra Energy, Inc.</t>
        </is>
      </c>
      <c r="C34" s="20" t="inlineStr">
        <is>
          <t>Utilities</t>
        </is>
      </c>
      <c r="D34" s="20" t="inlineStr">
        <is>
          <t>2026-06-30</t>
        </is>
      </c>
      <c r="E34" s="21" t="n">
        <v>187.8</v>
      </c>
      <c r="F34" s="22" t="n">
        <v>2.49269976108309</v>
      </c>
      <c r="G34" s="21" t="n">
        <v>3144</v>
      </c>
      <c r="H34" s="21" t="n">
        <v>2277</v>
      </c>
      <c r="I34" s="21" t="n">
        <v>2956.2</v>
      </c>
      <c r="J34" s="23" t="inlineStr">
        <is>
          <t>帳面被一次性收益美化</t>
        </is>
      </c>
      <c r="K34" s="20" t="inlineStr">
        <is>
          <t>A</t>
        </is>
      </c>
    </row>
    <row r="35">
      <c r="A35" s="19" t="inlineStr">
        <is>
          <t>PBF</t>
        </is>
      </c>
      <c r="B35" s="20" t="inlineStr">
        <is>
          <t>PBF Energy Inc.</t>
        </is>
      </c>
      <c r="C35" s="20" t="inlineStr">
        <is>
          <t>Energy</t>
        </is>
      </c>
      <c r="D35" s="20" t="inlineStr">
        <is>
          <t>2026-06-30</t>
        </is>
      </c>
      <c r="E35" s="21" t="n">
        <v>184.3632</v>
      </c>
      <c r="F35" s="22" t="n">
        <v>1.57868182869082</v>
      </c>
      <c r="G35" s="21" t="n">
        <v>906.4</v>
      </c>
      <c r="H35" s="21" t="n">
        <v>994.6</v>
      </c>
      <c r="I35" s="21" t="n">
        <v>722.0368</v>
      </c>
      <c r="J35" s="23" t="inlineStr">
        <is>
          <t>帳面被一次性收益美化</t>
        </is>
      </c>
      <c r="K35" s="20" t="inlineStr">
        <is>
          <t>B</t>
        </is>
      </c>
    </row>
    <row r="36">
      <c r="A36" s="19" t="inlineStr">
        <is>
          <t>SBUX</t>
        </is>
      </c>
      <c r="B36" s="20" t="inlineStr">
        <is>
          <t>Starbucks Corporation</t>
        </is>
      </c>
      <c r="C36" s="20" t="inlineStr">
        <is>
          <t>Consumer Discretionary</t>
        </is>
      </c>
      <c r="D36" s="20" t="inlineStr">
        <is>
          <t>2026-06-30</t>
        </is>
      </c>
      <c r="E36" s="21" t="n">
        <v>172.051807228916</v>
      </c>
      <c r="F36" s="22" t="n">
        <v>1.845514788944361</v>
      </c>
      <c r="G36" s="21" t="n">
        <v>1045.3</v>
      </c>
      <c r="H36" s="21" t="n">
        <v>1204.4</v>
      </c>
      <c r="I36" s="21" t="n">
        <v>873.2481927710839</v>
      </c>
      <c r="J36" s="23" t="inlineStr">
        <is>
          <t>帳面被一次性收益美化</t>
        </is>
      </c>
      <c r="K36" s="20" t="inlineStr">
        <is>
          <t>A</t>
        </is>
      </c>
    </row>
    <row r="37">
      <c r="A37" s="19" t="inlineStr">
        <is>
          <t>CNQ</t>
        </is>
      </c>
      <c r="B37" s="20" t="inlineStr">
        <is>
          <t>Canadian Natural Resources Limited</t>
        </is>
      </c>
      <c r="C37" s="20" t="inlineStr">
        <is>
          <t>Energy</t>
        </is>
      </c>
      <c r="D37" s="20" t="inlineStr">
        <is>
          <t>2026-06-30</t>
        </is>
      </c>
      <c r="E37" s="21" t="n">
        <v>-171</v>
      </c>
      <c r="F37" s="22" t="n">
        <v>-0.9933774834437087</v>
      </c>
      <c r="G37" s="21" t="n">
        <v>4503</v>
      </c>
      <c r="H37" s="21" t="n">
        <v>6351</v>
      </c>
      <c r="I37" s="21" t="n">
        <v>4674</v>
      </c>
      <c r="J37" s="23" t="inlineStr">
        <is>
          <t>帳面被一次性支出壓低</t>
        </is>
      </c>
      <c r="K37" s="20" t="inlineStr">
        <is>
          <t>A</t>
        </is>
      </c>
    </row>
    <row r="38">
      <c r="A38" s="19" t="inlineStr">
        <is>
          <t>CAT</t>
        </is>
      </c>
      <c r="B38" s="20" t="inlineStr">
        <is>
          <t>Caterpillar Inc.</t>
        </is>
      </c>
      <c r="C38" s="20" t="inlineStr">
        <is>
          <t>Industrials</t>
        </is>
      </c>
      <c r="D38" s="20" t="inlineStr">
        <is>
          <t>2026-06-30</t>
        </is>
      </c>
      <c r="E38" s="21" t="n">
        <v>159.952</v>
      </c>
      <c r="F38" s="22" t="n">
        <v>0.7786204546560873</v>
      </c>
      <c r="G38" s="21" t="n">
        <v>3593</v>
      </c>
      <c r="H38" s="21" t="n">
        <v>4295</v>
      </c>
      <c r="I38" s="21" t="n">
        <v>3433.048</v>
      </c>
      <c r="J38" s="23" t="inlineStr">
        <is>
          <t>帳面被一次性收益美化</t>
        </is>
      </c>
      <c r="K38" s="20" t="inlineStr">
        <is>
          <t>A</t>
        </is>
      </c>
    </row>
    <row r="39">
      <c r="A39" s="19" t="inlineStr">
        <is>
          <t>TLN</t>
        </is>
      </c>
      <c r="B39" s="20" t="inlineStr">
        <is>
          <t>Talen Energy Corporation</t>
        </is>
      </c>
      <c r="C39" s="20" t="inlineStr">
        <is>
          <t>Utilities</t>
        </is>
      </c>
      <c r="D39" s="20" t="inlineStr">
        <is>
          <t>2026-06-30</t>
        </is>
      </c>
      <c r="E39" s="21" t="n">
        <v>-150.443</v>
      </c>
      <c r="F39" s="22" t="n">
        <v>-15.68748696558915</v>
      </c>
      <c r="G39" s="21" t="n">
        <v>-92</v>
      </c>
      <c r="H39" s="21" t="n">
        <v>139</v>
      </c>
      <c r="I39" s="21" t="n">
        <v>58.44299999999998</v>
      </c>
      <c r="J39" s="23" t="inlineStr">
        <is>
          <t>帳面被一次性支出壓低（剔除後盈虧號相反）</t>
        </is>
      </c>
      <c r="K39" s="20" t="inlineStr">
        <is>
          <t>B</t>
        </is>
      </c>
    </row>
    <row r="40">
      <c r="A40" s="19" t="inlineStr">
        <is>
          <t>CAH</t>
        </is>
      </c>
      <c r="B40" s="20" t="inlineStr">
        <is>
          <t>Cardinal Health, Inc.</t>
        </is>
      </c>
      <c r="C40" s="20" t="inlineStr">
        <is>
          <t>Health Care</t>
        </is>
      </c>
      <c r="D40" s="20" t="inlineStr">
        <is>
          <t>2026-06-30</t>
        </is>
      </c>
      <c r="E40" s="21" t="n">
        <v>-149.458483754513</v>
      </c>
      <c r="F40" s="22" t="n">
        <v>-0.2347318817604488</v>
      </c>
      <c r="G40" s="21" t="n">
        <v>398</v>
      </c>
      <c r="H40" s="21" t="n">
        <v>814</v>
      </c>
      <c r="I40" s="21" t="n">
        <v>547.4584837545131</v>
      </c>
      <c r="J40" s="23" t="inlineStr">
        <is>
          <t>帳面被一次性支出壓低</t>
        </is>
      </c>
      <c r="K40" s="20" t="inlineStr">
        <is>
          <t>A</t>
        </is>
      </c>
    </row>
    <row r="41">
      <c r="A41" s="19" t="inlineStr">
        <is>
          <t>EQNR</t>
        </is>
      </c>
      <c r="B41" s="20" t="inlineStr">
        <is>
          <t>Equinor ASA</t>
        </is>
      </c>
      <c r="C41" s="20" t="inlineStr">
        <is>
          <t>Energy</t>
        </is>
      </c>
      <c r="D41" s="20" t="inlineStr">
        <is>
          <t>2026-06-30</t>
        </is>
      </c>
      <c r="E41" s="21" t="n">
        <v>146.4</v>
      </c>
      <c r="F41" s="22" t="n">
        <v>0.4240651160096168</v>
      </c>
      <c r="G41" s="21" t="n">
        <v>4848</v>
      </c>
      <c r="H41" s="21" t="n">
        <v>12863</v>
      </c>
      <c r="I41" s="21" t="n">
        <v>4701.6</v>
      </c>
      <c r="J41" s="23" t="inlineStr">
        <is>
          <t>帳面被一次性收益美化</t>
        </is>
      </c>
      <c r="K41" s="20" t="inlineStr">
        <is>
          <t>A</t>
        </is>
      </c>
    </row>
    <row r="42">
      <c r="A42" s="19" t="inlineStr">
        <is>
          <t>FANG</t>
        </is>
      </c>
      <c r="B42" s="20" t="inlineStr">
        <is>
          <t>Diamondback Energy, Inc.</t>
        </is>
      </c>
      <c r="C42" s="20" t="inlineStr">
        <is>
          <t>Energy</t>
        </is>
      </c>
      <c r="D42" s="20" t="inlineStr">
        <is>
          <t>2026-06-30</t>
        </is>
      </c>
      <c r="E42" s="21" t="n">
        <v>142.74</v>
      </c>
      <c r="F42" s="22" t="n">
        <v>2.583529411764706</v>
      </c>
      <c r="G42" s="21" t="n">
        <v>1882</v>
      </c>
      <c r="H42" s="21" t="n">
        <v>2512</v>
      </c>
      <c r="I42" s="21" t="n">
        <v>1739.26</v>
      </c>
      <c r="J42" s="23" t="inlineStr">
        <is>
          <t>帳面被一次性收益美化</t>
        </is>
      </c>
      <c r="K42" s="20" t="inlineStr">
        <is>
          <t>A</t>
        </is>
      </c>
    </row>
    <row r="43">
      <c r="A43" s="19" t="inlineStr">
        <is>
          <t>NEM</t>
        </is>
      </c>
      <c r="B43" s="20" t="inlineStr">
        <is>
          <t>Newmont Corporation</t>
        </is>
      </c>
      <c r="C43" s="20" t="inlineStr">
        <is>
          <t>Basic Materials</t>
        </is>
      </c>
      <c r="D43" s="20" t="inlineStr">
        <is>
          <t>2026-06-30</t>
        </is>
      </c>
      <c r="E43" s="21" t="n">
        <v>-114.24</v>
      </c>
      <c r="F43" s="22" t="n">
        <v>-1.867276887871854</v>
      </c>
      <c r="G43" s="21" t="n">
        <v>2202</v>
      </c>
      <c r="H43" s="21" t="n">
        <v>3155</v>
      </c>
      <c r="I43" s="21" t="n">
        <v>2316.24</v>
      </c>
      <c r="J43" s="23" t="inlineStr">
        <is>
          <t>帳面被一次性支出壓低</t>
        </is>
      </c>
      <c r="K43" s="20" t="inlineStr">
        <is>
          <t>A</t>
        </is>
      </c>
    </row>
    <row r="44">
      <c r="A44" s="19" t="inlineStr">
        <is>
          <t>OXY</t>
        </is>
      </c>
      <c r="B44" s="20" t="inlineStr">
        <is>
          <t>Occidental Petroleum Corporation</t>
        </is>
      </c>
      <c r="C44" s="20" t="inlineStr">
        <is>
          <t>Energy</t>
        </is>
      </c>
      <c r="D44" s="20" t="inlineStr">
        <is>
          <t>2026-06-30</t>
        </is>
      </c>
      <c r="E44" s="21" t="n">
        <v>109.34</v>
      </c>
      <c r="F44" s="22" t="n">
        <v>1.355734655920645</v>
      </c>
      <c r="G44" s="21" t="n">
        <v>2787</v>
      </c>
      <c r="H44" s="21" t="n">
        <v>3665</v>
      </c>
      <c r="I44" s="21" t="n">
        <v>2677.66</v>
      </c>
      <c r="J44" s="23" t="inlineStr">
        <is>
          <t>帳面被一次性收益美化</t>
        </is>
      </c>
      <c r="K44" s="20" t="inlineStr">
        <is>
          <t>A</t>
        </is>
      </c>
    </row>
    <row r="45">
      <c r="A45" s="19" t="inlineStr">
        <is>
          <t>NSC</t>
        </is>
      </c>
      <c r="B45" s="20" t="inlineStr">
        <is>
          <t>Norfolk Southern Corporation</t>
        </is>
      </c>
      <c r="C45" s="20" t="inlineStr">
        <is>
          <t>Industrials</t>
        </is>
      </c>
      <c r="D45" s="20" t="inlineStr">
        <is>
          <t>2026-06-30</t>
        </is>
      </c>
      <c r="E45" s="21" t="n">
        <v>-108.63</v>
      </c>
      <c r="F45" s="22" t="n">
        <v>-3.135064935064935</v>
      </c>
      <c r="G45" s="21" t="n">
        <v>733</v>
      </c>
      <c r="H45" s="21" t="n">
        <v>1266</v>
      </c>
      <c r="I45" s="21" t="n">
        <v>841.63</v>
      </c>
      <c r="J45" s="23" t="inlineStr">
        <is>
          <t>帳面被一次性支出壓低</t>
        </is>
      </c>
      <c r="K45" s="20" t="inlineStr">
        <is>
          <t>A</t>
        </is>
      </c>
    </row>
    <row r="46">
      <c r="A46" s="19" t="inlineStr">
        <is>
          <t>NET</t>
        </is>
      </c>
      <c r="B46" s="20" t="inlineStr">
        <is>
          <t>Cloudflare, Inc.</t>
        </is>
      </c>
      <c r="C46" s="20" t="inlineStr">
        <is>
          <t>Technology</t>
        </is>
      </c>
      <c r="D46" s="20" t="inlineStr">
        <is>
          <t>2026-06-30</t>
        </is>
      </c>
      <c r="E46" s="21" t="n">
        <v>-90.41580000000002</v>
      </c>
      <c r="F46" s="22" t="n">
        <v>-12.98963740246904</v>
      </c>
      <c r="G46" s="21" t="n">
        <v>-169.981</v>
      </c>
      <c r="H46" s="21" t="n">
        <v>-55.003</v>
      </c>
      <c r="I46" s="21" t="n">
        <v>-79.56519999999998</v>
      </c>
      <c r="J46" s="23" t="inlineStr">
        <is>
          <t>帳面被一次性支出壓低</t>
        </is>
      </c>
      <c r="K46" s="20" t="inlineStr">
        <is>
          <t>D</t>
        </is>
      </c>
    </row>
    <row r="47">
      <c r="A47" s="19" t="inlineStr">
        <is>
          <t>BRKR</t>
        </is>
      </c>
      <c r="B47" s="20" t="inlineStr">
        <is>
          <t>Bruker Corporation</t>
        </is>
      </c>
      <c r="C47" s="20" t="inlineStr">
        <is>
          <t>Industrials</t>
        </is>
      </c>
      <c r="D47" s="20" t="inlineStr">
        <is>
          <t>2026-06-30</t>
        </is>
      </c>
      <c r="E47" s="21" t="n">
        <v>-88.5</v>
      </c>
      <c r="F47" s="22" t="n">
        <v>-10.55456171735242</v>
      </c>
      <c r="G47" s="21" t="n">
        <v>-62.9</v>
      </c>
      <c r="H47" s="21" t="n">
        <v>82.8</v>
      </c>
      <c r="I47" s="21" t="n">
        <v>25.6</v>
      </c>
      <c r="J47" s="23" t="inlineStr">
        <is>
          <t>帳面被一次性支出壓低（剔除後盈虧號相反）</t>
        </is>
      </c>
      <c r="K47" s="20" t="inlineStr">
        <is>
          <t>B</t>
        </is>
      </c>
    </row>
    <row r="48">
      <c r="A48" s="19" t="inlineStr">
        <is>
          <t>V</t>
        </is>
      </c>
      <c r="B48" s="20" t="inlineStr">
        <is>
          <t>Visa Inc.</t>
        </is>
      </c>
      <c r="C48" s="20" t="inlineStr">
        <is>
          <t>Consumer Discretionary</t>
        </is>
      </c>
      <c r="D48" s="20" t="inlineStr">
        <is>
          <t>2026-06-30</t>
        </is>
      </c>
      <c r="E48" s="21" t="n">
        <v>-84.872</v>
      </c>
      <c r="F48" s="22" t="n">
        <v>-0.7295796441158772</v>
      </c>
      <c r="G48" s="21" t="n">
        <v>5628</v>
      </c>
      <c r="H48" s="21" t="n">
        <v>7130</v>
      </c>
      <c r="I48" s="21" t="n">
        <v>5712.872</v>
      </c>
      <c r="J48" s="23" t="inlineStr">
        <is>
          <t>帳面被一次性支出壓低</t>
        </is>
      </c>
      <c r="K48" s="20" t="inlineStr">
        <is>
          <t>A</t>
        </is>
      </c>
    </row>
    <row r="49">
      <c r="A49" s="19" t="inlineStr">
        <is>
          <t>GLW</t>
        </is>
      </c>
      <c r="B49" s="20" t="inlineStr">
        <is>
          <t>Corning Incorporated</t>
        </is>
      </c>
      <c r="C49" s="20" t="inlineStr">
        <is>
          <t>Industrials</t>
        </is>
      </c>
      <c r="D49" s="20" t="inlineStr">
        <is>
          <t>2026-06-30</t>
        </is>
      </c>
      <c r="E49" s="21" t="n">
        <v>84.453004622496</v>
      </c>
      <c r="F49" s="22" t="n">
        <v>1.874650491065394</v>
      </c>
      <c r="G49" s="21" t="n">
        <v>559</v>
      </c>
      <c r="H49" s="21" t="n">
        <v>698</v>
      </c>
      <c r="I49" s="21" t="n">
        <v>474.546995377504</v>
      </c>
      <c r="J49" s="23" t="inlineStr">
        <is>
          <t>帳面被一次性收益美化</t>
        </is>
      </c>
      <c r="K49" s="20" t="inlineStr">
        <is>
          <t>A</t>
        </is>
      </c>
    </row>
    <row r="50">
      <c r="A50" s="19" t="inlineStr">
        <is>
          <t>NBIS</t>
        </is>
      </c>
      <c r="B50" s="20" t="inlineStr">
        <is>
          <t>Nebius Group N.V.</t>
        </is>
      </c>
      <c r="C50" s="20" t="inlineStr">
        <is>
          <t>Technology</t>
        </is>
      </c>
      <c r="D50" s="20" t="inlineStr">
        <is>
          <t>2026-06-30</t>
        </is>
      </c>
      <c r="E50" s="21" t="n">
        <v>82.5</v>
      </c>
      <c r="F50" s="22" t="n">
        <v>14.16795466254508</v>
      </c>
      <c r="G50" s="21" t="n">
        <v>-190.4</v>
      </c>
      <c r="H50" s="21" t="n">
        <v>-175.9</v>
      </c>
      <c r="I50" s="21" t="n">
        <v>-272.9</v>
      </c>
      <c r="J50" s="23" t="inlineStr">
        <is>
          <t>帳面被一次性收益美化</t>
        </is>
      </c>
      <c r="K50" s="20" t="inlineStr">
        <is>
          <t>D</t>
        </is>
      </c>
    </row>
    <row r="51">
      <c r="A51" s="19" t="inlineStr">
        <is>
          <t>EOG</t>
        </is>
      </c>
      <c r="B51" s="20" t="inlineStr">
        <is>
          <t>EOG Resources, Inc.</t>
        </is>
      </c>
      <c r="C51" s="20" t="inlineStr">
        <is>
          <t>Energy</t>
        </is>
      </c>
      <c r="D51" s="20" t="inlineStr">
        <is>
          <t>2026-03-31</t>
        </is>
      </c>
      <c r="E51" s="21" t="n">
        <v>80.84999999999999</v>
      </c>
      <c r="F51" s="22" t="n">
        <v>1.19635986978396</v>
      </c>
      <c r="G51" s="21" t="n">
        <v>1980</v>
      </c>
      <c r="H51" s="21" t="n">
        <v>2493</v>
      </c>
      <c r="I51" s="21" t="n">
        <v>1899.15</v>
      </c>
      <c r="J51" s="23" t="inlineStr">
        <is>
          <t>帳面被一次性收益美化</t>
        </is>
      </c>
      <c r="K51" s="20" t="inlineStr">
        <is>
          <t>A</t>
        </is>
      </c>
    </row>
    <row r="52">
      <c r="A52" s="19" t="inlineStr">
        <is>
          <t>CHRD</t>
        </is>
      </c>
      <c r="B52" s="20" t="inlineStr">
        <is>
          <t>Chord Energy Corporation</t>
        </is>
      </c>
      <c r="C52" s="20" t="inlineStr">
        <is>
          <t>Energy</t>
        </is>
      </c>
      <c r="D52" s="20" t="inlineStr">
        <is>
          <t>2026-06-30</t>
        </is>
      </c>
      <c r="E52" s="21" t="n">
        <v>80.3537</v>
      </c>
      <c r="F52" s="22" t="n">
        <v>3.698359403226883</v>
      </c>
      <c r="G52" s="21" t="n">
        <v>520.943</v>
      </c>
      <c r="H52" s="21" t="n">
        <v>605.4109999999999</v>
      </c>
      <c r="I52" s="21" t="n">
        <v>440.5893</v>
      </c>
      <c r="J52" s="23" t="inlineStr">
        <is>
          <t>帳面被一次性收益美化</t>
        </is>
      </c>
      <c r="K52" s="20" t="inlineStr">
        <is>
          <t>A</t>
        </is>
      </c>
    </row>
    <row r="53">
      <c r="A53" s="19" t="inlineStr">
        <is>
          <t>META</t>
        </is>
      </c>
      <c r="B53" s="20" t="inlineStr">
        <is>
          <t>Meta Platforms, Inc.</t>
        </is>
      </c>
      <c r="C53" s="20" t="inlineStr">
        <is>
          <t>Technology</t>
        </is>
      </c>
      <c r="D53" s="20" t="inlineStr">
        <is>
          <t>2026-06-30</t>
        </is>
      </c>
      <c r="E53" s="21" t="n">
        <v>-79.8</v>
      </c>
      <c r="F53" s="22" t="n">
        <v>-0.1312478413183994</v>
      </c>
      <c r="G53" s="21" t="n">
        <v>15848</v>
      </c>
      <c r="H53" s="21" t="n">
        <v>18775</v>
      </c>
      <c r="I53" s="21" t="n">
        <v>15927.8</v>
      </c>
      <c r="J53" s="23" t="inlineStr">
        <is>
          <t>帳面被一次性支出壓低</t>
        </is>
      </c>
      <c r="K53" s="20" t="inlineStr">
        <is>
          <t>A</t>
        </is>
      </c>
    </row>
    <row r="54">
      <c r="A54" s="19" t="inlineStr">
        <is>
          <t>ARM</t>
        </is>
      </c>
      <c r="B54" s="20" t="inlineStr">
        <is>
          <t>Arm Holdings plc</t>
        </is>
      </c>
      <c r="C54" s="20" t="inlineStr">
        <is>
          <t>Technology</t>
        </is>
      </c>
      <c r="D54" s="20" t="inlineStr">
        <is>
          <t>2026-06-30</t>
        </is>
      </c>
      <c r="E54" s="21" t="n">
        <v>72.59999999999999</v>
      </c>
      <c r="F54" s="22" t="n">
        <v>5.632273079906904</v>
      </c>
      <c r="G54" s="21" t="n">
        <v>270</v>
      </c>
      <c r="H54" s="21" t="n">
        <v>98</v>
      </c>
      <c r="I54" s="21" t="n">
        <v>197.4</v>
      </c>
      <c r="J54" s="23" t="inlineStr">
        <is>
          <t>帳面被一次性收益美化</t>
        </is>
      </c>
      <c r="K54" s="20" t="inlineStr">
        <is>
          <t>A</t>
        </is>
      </c>
    </row>
    <row r="55">
      <c r="A55" s="19" t="inlineStr">
        <is>
          <t>JAZZ</t>
        </is>
      </c>
      <c r="B55" s="20" t="inlineStr">
        <is>
          <t>Jazz Pharmaceuticals plc</t>
        </is>
      </c>
      <c r="C55" s="20" t="inlineStr">
        <is>
          <t>Health Care</t>
        </is>
      </c>
      <c r="D55" s="20" t="inlineStr">
        <is>
          <t>2026-06-30</t>
        </is>
      </c>
      <c r="E55" s="21" t="n">
        <v>-70.486208530806</v>
      </c>
      <c r="F55" s="22" t="n">
        <v>-5.833502319854837</v>
      </c>
      <c r="G55" s="21" t="n">
        <v>192.8</v>
      </c>
      <c r="H55" s="21" t="n">
        <v>325.2</v>
      </c>
      <c r="I55" s="21" t="n">
        <v>263.286208530806</v>
      </c>
      <c r="J55" s="23" t="inlineStr">
        <is>
          <t>帳面被一次性支出壓低</t>
        </is>
      </c>
      <c r="K55" s="20" t="inlineStr">
        <is>
          <t>A</t>
        </is>
      </c>
    </row>
    <row r="56">
      <c r="A56" s="19" t="inlineStr">
        <is>
          <t>HPE</t>
        </is>
      </c>
      <c r="B56" s="20" t="inlineStr">
        <is>
          <t>Hewlett Packard Enterprise Company</t>
        </is>
      </c>
      <c r="C56" s="20" t="inlineStr">
        <is>
          <t>Technology</t>
        </is>
      </c>
      <c r="D56" s="20" t="inlineStr">
        <is>
          <t>2026-04-30</t>
        </is>
      </c>
      <c r="E56" s="21" t="n">
        <v>-69.654</v>
      </c>
      <c r="F56" s="22" t="n">
        <v>-0.6523131672597864</v>
      </c>
      <c r="G56" s="21" t="n">
        <v>595</v>
      </c>
      <c r="H56" s="21" t="n">
        <v>825</v>
      </c>
      <c r="I56" s="21" t="n">
        <v>664.654</v>
      </c>
      <c r="J56" s="23" t="inlineStr">
        <is>
          <t>帳面被一次性支出壓低</t>
        </is>
      </c>
      <c r="K56" s="20" t="inlineStr">
        <is>
          <t>A</t>
        </is>
      </c>
    </row>
    <row r="57">
      <c r="A57" s="19" t="inlineStr">
        <is>
          <t>PCAR</t>
        </is>
      </c>
      <c r="B57" s="20" t="inlineStr">
        <is>
          <t>PACCAR Inc</t>
        </is>
      </c>
      <c r="C57" s="20" t="inlineStr">
        <is>
          <t>Industrials</t>
        </is>
      </c>
      <c r="D57" s="20" t="inlineStr">
        <is>
          <t>2026-06-30</t>
        </is>
      </c>
      <c r="E57" s="21" t="n">
        <v>65.876</v>
      </c>
      <c r="F57" s="22" t="n">
        <v>0.872911338730836</v>
      </c>
      <c r="G57" s="21" t="n">
        <v>752</v>
      </c>
      <c r="H57" s="21" t="n">
        <v>879.2</v>
      </c>
      <c r="I57" s="21" t="n">
        <v>686.124</v>
      </c>
      <c r="J57" s="23" t="inlineStr">
        <is>
          <t>帳面被一次性收益美化</t>
        </is>
      </c>
      <c r="K57" s="20" t="inlineStr">
        <is>
          <t>A</t>
        </is>
      </c>
    </row>
    <row r="58">
      <c r="A58" s="19" t="inlineStr">
        <is>
          <t>AVGO</t>
        </is>
      </c>
      <c r="B58" s="20" t="inlineStr">
        <is>
          <t>Broadcom Inc.</t>
        </is>
      </c>
      <c r="C58" s="20" t="inlineStr">
        <is>
          <t>Technology</t>
        </is>
      </c>
      <c r="D58" s="20" t="inlineStr">
        <is>
          <t>2026-04-30</t>
        </is>
      </c>
      <c r="E58" s="21" t="n">
        <v>-65.252714708786</v>
      </c>
      <c r="F58" s="22" t="n">
        <v>-0.2941033700310362</v>
      </c>
      <c r="G58" s="21" t="n">
        <v>9310</v>
      </c>
      <c r="H58" s="21" t="n">
        <v>10859</v>
      </c>
      <c r="I58" s="21" t="n">
        <v>9375.252714708786</v>
      </c>
      <c r="J58" s="23" t="inlineStr">
        <is>
          <t>帳面被一次性支出壓低</t>
        </is>
      </c>
      <c r="K58" s="20" t="inlineStr">
        <is>
          <t>A</t>
        </is>
      </c>
    </row>
    <row r="59">
      <c r="A59" s="19" t="inlineStr">
        <is>
          <t>IMO</t>
        </is>
      </c>
      <c r="B59" s="20" t="inlineStr">
        <is>
          <t>Imperial Oil Limited</t>
        </is>
      </c>
      <c r="C59" s="20" t="inlineStr">
        <is>
          <t>Energy</t>
        </is>
      </c>
      <c r="D59" s="20" t="inlineStr">
        <is>
          <t>2026-06-30</t>
        </is>
      </c>
      <c r="E59" s="21" t="n">
        <v>62.024475524476</v>
      </c>
      <c r="F59" s="22" t="n">
        <v>0.3898213533057382</v>
      </c>
      <c r="G59" s="21" t="n">
        <v>2190</v>
      </c>
      <c r="H59" s="21" t="n">
        <v>2793</v>
      </c>
      <c r="I59" s="21" t="n">
        <v>2127.975524475524</v>
      </c>
      <c r="J59" s="23" t="inlineStr">
        <is>
          <t>帳面被一次性收益美化</t>
        </is>
      </c>
      <c r="K59" s="20" t="inlineStr">
        <is>
          <t>A</t>
        </is>
      </c>
    </row>
    <row r="60">
      <c r="A60" s="19" t="inlineStr">
        <is>
          <t>CDNS</t>
        </is>
      </c>
      <c r="B60" s="20" t="inlineStr">
        <is>
          <t>Cadence Design Systems, Inc.</t>
        </is>
      </c>
      <c r="C60" s="20" t="inlineStr">
        <is>
          <t>Technology</t>
        </is>
      </c>
      <c r="D60" s="20" t="inlineStr">
        <is>
          <t>2026-06-30</t>
        </is>
      </c>
      <c r="E60" s="21" t="n">
        <v>60.815896</v>
      </c>
      <c r="F60" s="22" t="n">
        <v>3.838294525990391</v>
      </c>
      <c r="G60" s="21" t="n">
        <v>367.076</v>
      </c>
      <c r="H60" s="21" t="n">
        <v>449.963</v>
      </c>
      <c r="I60" s="21" t="n">
        <v>306.260104</v>
      </c>
      <c r="J60" s="23" t="inlineStr">
        <is>
          <t>帳面被一次性收益美化</t>
        </is>
      </c>
      <c r="K60" s="20" t="inlineStr">
        <is>
          <t>A</t>
        </is>
      </c>
    </row>
    <row r="61">
      <c r="A61" s="19" t="inlineStr">
        <is>
          <t>REGN</t>
        </is>
      </c>
      <c r="B61" s="20" t="inlineStr">
        <is>
          <t>Regeneron Pharmaceuticals, Inc.</t>
        </is>
      </c>
      <c r="C61" s="20" t="inlineStr">
        <is>
          <t>Health Care</t>
        </is>
      </c>
      <c r="D61" s="20" t="inlineStr">
        <is>
          <t>2026-06-30</t>
        </is>
      </c>
      <c r="E61" s="21" t="n">
        <v>-55.261284199503</v>
      </c>
      <c r="F61" s="22" t="n">
        <v>-1.287931670811359</v>
      </c>
      <c r="G61" s="21" t="n">
        <v>1296.9</v>
      </c>
      <c r="H61" s="21" t="n">
        <v>1420.5</v>
      </c>
      <c r="I61" s="21" t="n">
        <v>1352.161284199503</v>
      </c>
      <c r="J61" s="23" t="inlineStr">
        <is>
          <t>帳面被一次性支出壓低</t>
        </is>
      </c>
      <c r="K61" s="20" t="inlineStr">
        <is>
          <t>A</t>
        </is>
      </c>
    </row>
    <row r="62">
      <c r="A62" s="19" t="inlineStr">
        <is>
          <t>SU</t>
        </is>
      </c>
      <c r="B62" s="20" t="inlineStr">
        <is>
          <t>Suncor Energy Inc.</t>
        </is>
      </c>
      <c r="C62" s="20" t="inlineStr">
        <is>
          <t>Energy</t>
        </is>
      </c>
      <c r="D62" s="20" t="inlineStr">
        <is>
          <t>2026-06-30</t>
        </is>
      </c>
      <c r="E62" s="21" t="n">
        <v>-54</v>
      </c>
      <c r="F62" s="22" t="n">
        <v>-0.2840759640170445</v>
      </c>
      <c r="G62" s="21" t="n">
        <v>3732</v>
      </c>
      <c r="H62" s="21" t="n">
        <v>5247</v>
      </c>
      <c r="I62" s="21" t="n">
        <v>3786</v>
      </c>
      <c r="J62" s="23" t="inlineStr">
        <is>
          <t>帳面被一次性支出壓低</t>
        </is>
      </c>
      <c r="K62" s="20" t="inlineStr">
        <is>
          <t>A</t>
        </is>
      </c>
    </row>
    <row r="63">
      <c r="A63" s="19" t="inlineStr">
        <is>
          <t>COHR</t>
        </is>
      </c>
      <c r="B63" s="20" t="inlineStr">
        <is>
          <t>Coherent Corp.</t>
        </is>
      </c>
      <c r="C63" s="20" t="inlineStr">
        <is>
          <t>Technology</t>
        </is>
      </c>
      <c r="D63" s="20" t="inlineStr">
        <is>
          <t>2026-06-30</t>
        </is>
      </c>
      <c r="E63" s="21" t="n">
        <v>-42.735697531884</v>
      </c>
      <c r="F63" s="22" t="n">
        <v>-2.089220635007306</v>
      </c>
      <c r="G63" s="21" t="n">
        <v>240.53</v>
      </c>
      <c r="H63" s="21" t="n">
        <v>304.338</v>
      </c>
      <c r="I63" s="21" t="n">
        <v>283.265697531884</v>
      </c>
      <c r="J63" s="23" t="inlineStr">
        <is>
          <t>帳面被一次性支出壓低</t>
        </is>
      </c>
      <c r="K63" s="20" t="inlineStr">
        <is>
          <t>A</t>
        </is>
      </c>
    </row>
    <row r="64">
      <c r="A64" s="19" t="inlineStr">
        <is>
          <t>RPRX</t>
        </is>
      </c>
      <c r="B64" s="20" t="inlineStr">
        <is>
          <t>Royalty Pharma plc</t>
        </is>
      </c>
      <c r="C64" s="20" t="inlineStr">
        <is>
          <t>Health Care</t>
        </is>
      </c>
      <c r="D64" s="20" t="inlineStr">
        <is>
          <t>2026-06-30</t>
        </is>
      </c>
      <c r="E64" s="21" t="n">
        <v>34.276</v>
      </c>
      <c r="F64" s="22" t="n">
        <v>5.084396290983638</v>
      </c>
      <c r="G64" s="21" t="n">
        <v>17.883</v>
      </c>
      <c r="H64" s="21" t="n">
        <v>133.119</v>
      </c>
      <c r="I64" s="21" t="n">
        <v>-16.393</v>
      </c>
      <c r="J64" s="23" t="inlineStr">
        <is>
          <t>帳面被一次性收益美化（剔除後盈虧號相反）</t>
        </is>
      </c>
      <c r="K64" s="20" t="inlineStr">
        <is>
          <t>A</t>
        </is>
      </c>
    </row>
    <row r="65">
      <c r="A65" s="19" t="inlineStr">
        <is>
          <t>APLD</t>
        </is>
      </c>
      <c r="B65" s="20" t="inlineStr">
        <is>
          <t>Applied Digital Corporation</t>
        </is>
      </c>
      <c r="C65" s="20" t="inlineStr">
        <is>
          <t>Technology</t>
        </is>
      </c>
      <c r="D65" s="20" t="inlineStr">
        <is>
          <t>2026-05-31</t>
        </is>
      </c>
      <c r="E65" s="21" t="n">
        <v>33.4656</v>
      </c>
      <c r="F65" s="22" t="n">
        <v>12.93361520237759</v>
      </c>
      <c r="G65" s="21" t="n">
        <v>-111.716</v>
      </c>
      <c r="H65" s="21" t="n">
        <v>-124.764</v>
      </c>
      <c r="I65" s="21" t="n">
        <v>-145.1816</v>
      </c>
      <c r="J65" s="23" t="inlineStr">
        <is>
          <t>帳面被一次性收益美化</t>
        </is>
      </c>
      <c r="K65" s="20" t="inlineStr">
        <is>
          <t>D</t>
        </is>
      </c>
    </row>
    <row r="66">
      <c r="A66" s="19" t="inlineStr">
        <is>
          <t>ZD</t>
        </is>
      </c>
      <c r="B66" s="20" t="inlineStr">
        <is>
          <t>Ziff Davis, Inc.</t>
        </is>
      </c>
      <c r="C66" s="20" t="inlineStr">
        <is>
          <t>Telecommunications</t>
        </is>
      </c>
      <c r="D66" s="20" t="inlineStr">
        <is>
          <t>2026-06-30</t>
        </is>
      </c>
      <c r="E66" s="21" t="n">
        <v>-32.9034</v>
      </c>
      <c r="F66" s="22" t="n">
        <v>-11.47507480696664</v>
      </c>
      <c r="G66" s="21" t="n">
        <v>624.461</v>
      </c>
      <c r="H66" s="21" t="n">
        <v>10.116</v>
      </c>
      <c r="I66" s="21" t="n">
        <v>657.3644</v>
      </c>
      <c r="J66" s="23" t="inlineStr">
        <is>
          <t>帳面被一次性支出壓低</t>
        </is>
      </c>
      <c r="K66" s="20" t="inlineStr">
        <is>
          <t>A</t>
        </is>
      </c>
    </row>
    <row r="67">
      <c r="A67" s="19" t="inlineStr">
        <is>
          <t>DRH</t>
        </is>
      </c>
      <c r="B67" s="20" t="inlineStr">
        <is>
          <t>DiamondRock Hospitality Company</t>
        </is>
      </c>
      <c r="C67" s="20" t="inlineStr">
        <is>
          <t>Real Estate</t>
        </is>
      </c>
      <c r="D67" s="20" t="inlineStr">
        <is>
          <t>2026-06-30</t>
        </is>
      </c>
      <c r="E67" s="21" t="n">
        <v>31.016854302343</v>
      </c>
      <c r="F67" s="22" t="n">
        <v>9.744963429853341</v>
      </c>
      <c r="G67" s="21" t="n">
        <v>90.48</v>
      </c>
      <c r="H67" s="21" t="n">
        <v>73.343</v>
      </c>
      <c r="I67" s="21" t="n">
        <v>59.463145697657</v>
      </c>
      <c r="J67" s="23" t="inlineStr">
        <is>
          <t>帳面被一次性收益美化</t>
        </is>
      </c>
      <c r="K67" s="20" t="inlineStr">
        <is>
          <t>A</t>
        </is>
      </c>
    </row>
    <row r="68">
      <c r="A68" s="19" t="inlineStr">
        <is>
          <t>CCJ</t>
        </is>
      </c>
      <c r="B68" s="20" t="inlineStr">
        <is>
          <t>Cameco Corporation</t>
        </is>
      </c>
      <c r="C68" s="20" t="inlineStr">
        <is>
          <t>Basic Materials</t>
        </is>
      </c>
      <c r="D68" s="20" t="inlineStr">
        <is>
          <t>2026-03-31</t>
        </is>
      </c>
      <c r="E68" s="21" t="n">
        <v>-30.561734969491</v>
      </c>
      <c r="F68" s="22" t="n">
        <v>-3.615211768820687</v>
      </c>
      <c r="G68" s="21" t="n">
        <v>130.751</v>
      </c>
      <c r="H68" s="21" t="n">
        <v>164.148</v>
      </c>
      <c r="I68" s="21" t="n">
        <v>161.312734969491</v>
      </c>
      <c r="J68" s="23" t="inlineStr">
        <is>
          <t>帳面被一次性支出壓低</t>
        </is>
      </c>
      <c r="K68" s="20" t="inlineStr">
        <is>
          <t>A</t>
        </is>
      </c>
    </row>
    <row r="69">
      <c r="A69" s="19" t="inlineStr">
        <is>
          <t>ADPT</t>
        </is>
      </c>
      <c r="B69" s="20" t="inlineStr">
        <is>
          <t>Adaptive Biotechnologies Corporation</t>
        </is>
      </c>
      <c r="C69" s="20" t="inlineStr">
        <is>
          <t>Health Care</t>
        </is>
      </c>
      <c r="D69" s="20" t="inlineStr">
        <is>
          <t>2026-06-30</t>
        </is>
      </c>
      <c r="E69" s="21" t="n">
        <v>-23.733</v>
      </c>
      <c r="F69" s="22" t="n">
        <v>-33.16842061129513</v>
      </c>
      <c r="G69" s="21" t="n">
        <v>-39.788</v>
      </c>
      <c r="H69" s="21" t="n">
        <v>-15.77</v>
      </c>
      <c r="I69" s="21" t="n">
        <v>-16.055</v>
      </c>
      <c r="J69" s="23" t="inlineStr">
        <is>
          <t>帳面被一次性支出壓低</t>
        </is>
      </c>
      <c r="K69" s="20" t="inlineStr">
        <is>
          <t>D</t>
        </is>
      </c>
    </row>
    <row r="70">
      <c r="A70" s="19" t="inlineStr">
        <is>
          <t>PK</t>
        </is>
      </c>
      <c r="B70" s="20" t="inlineStr">
        <is>
          <t>Park Hotels &amp; Resorts Inc.</t>
        </is>
      </c>
      <c r="C70" s="20" t="inlineStr">
        <is>
          <t>Consumer Discretionary</t>
        </is>
      </c>
      <c r="D70" s="20" t="inlineStr">
        <is>
          <t>2026-06-30</t>
        </is>
      </c>
      <c r="E70" s="21" t="n">
        <v>-21.818181818182</v>
      </c>
      <c r="F70" s="22" t="n">
        <v>-3.208556149732647</v>
      </c>
      <c r="G70" s="21" t="n">
        <v>47</v>
      </c>
      <c r="H70" s="21" t="n">
        <v>119</v>
      </c>
      <c r="I70" s="21" t="n">
        <v>68.818181818182</v>
      </c>
      <c r="J70" s="23" t="inlineStr">
        <is>
          <t>帳面被一次性支出壓低</t>
        </is>
      </c>
      <c r="K70" s="20" t="inlineStr">
        <is>
          <t>A</t>
        </is>
      </c>
    </row>
    <row r="71">
      <c r="A71" s="19" t="inlineStr">
        <is>
          <t>AMRX</t>
        </is>
      </c>
      <c r="B71" s="20" t="inlineStr">
        <is>
          <t>Amneal Pharmaceuticals, Inc.</t>
        </is>
      </c>
      <c r="C71" s="20" t="inlineStr">
        <is>
          <t>Health Care</t>
        </is>
      </c>
      <c r="D71" s="20" t="inlineStr">
        <is>
          <t>2026-06-30</t>
        </is>
      </c>
      <c r="E71" s="21" t="n">
        <v>-20.2086</v>
      </c>
      <c r="F71" s="22" t="n">
        <v>-2.538140686287439</v>
      </c>
      <c r="G71" s="21" t="n">
        <v>57.662</v>
      </c>
      <c r="H71" s="21" t="n">
        <v>145.98</v>
      </c>
      <c r="I71" s="21" t="n">
        <v>77.8706</v>
      </c>
      <c r="J71" s="23" t="inlineStr">
        <is>
          <t>帳面被一次性支出壓低</t>
        </is>
      </c>
      <c r="K71" s="20" t="inlineStr">
        <is>
          <t>A</t>
        </is>
      </c>
    </row>
    <row r="72">
      <c r="A72" s="19" t="inlineStr">
        <is>
          <t>CBL</t>
        </is>
      </c>
      <c r="B72" s="20" t="inlineStr">
        <is>
          <t>CBL &amp; Associates Properties, Inc.</t>
        </is>
      </c>
      <c r="C72" s="20" t="inlineStr">
        <is>
          <t>Real Estate</t>
        </is>
      </c>
      <c r="D72" s="20" t="inlineStr">
        <is>
          <t>2026-06-30</t>
        </is>
      </c>
      <c r="E72" s="21" t="n">
        <v>19.048660554925</v>
      </c>
      <c r="F72" s="22" t="n">
        <v>13.0043627789137</v>
      </c>
      <c r="G72" s="21" t="n">
        <v>45.358</v>
      </c>
      <c r="H72" s="21" t="n">
        <v>44.721</v>
      </c>
      <c r="I72" s="21" t="n">
        <v>26.309339445075</v>
      </c>
      <c r="J72" s="23" t="inlineStr">
        <is>
          <t>帳面被一次性收益美化</t>
        </is>
      </c>
      <c r="K72" s="20" t="inlineStr">
        <is>
          <t>A</t>
        </is>
      </c>
    </row>
    <row r="73">
      <c r="A73" s="19" t="inlineStr">
        <is>
          <t>SMR</t>
        </is>
      </c>
      <c r="B73" s="20" t="inlineStr">
        <is>
          <t>NuScale Power Corporation</t>
        </is>
      </c>
      <c r="C73" s="20" t="inlineStr">
        <is>
          <t>Industrials</t>
        </is>
      </c>
      <c r="D73" s="20" t="inlineStr">
        <is>
          <t>2026-06-30</t>
        </is>
      </c>
      <c r="E73" s="21" t="n">
        <v>13.94</v>
      </c>
      <c r="F73" s="22" t="n">
        <v>18586.66666666667</v>
      </c>
      <c r="G73" s="21" t="n">
        <v>-47.539</v>
      </c>
      <c r="H73" s="21" t="n">
        <v>-64.003</v>
      </c>
      <c r="I73" s="21" t="n">
        <v>-61.479</v>
      </c>
      <c r="J73" s="23" t="inlineStr">
        <is>
          <t>帳面被一次性收益美化</t>
        </is>
      </c>
      <c r="K73" s="20" t="inlineStr">
        <is>
          <t>C</t>
        </is>
      </c>
    </row>
    <row r="74">
      <c r="A74" s="19" t="inlineStr">
        <is>
          <t>MNDY</t>
        </is>
      </c>
      <c r="B74" s="20" t="inlineStr">
        <is>
          <t>monday.com Ltd.</t>
        </is>
      </c>
      <c r="C74" s="20" t="inlineStr">
        <is>
          <t>Technology</t>
        </is>
      </c>
      <c r="D74" s="20" t="inlineStr">
        <is>
          <t>2026-06-30</t>
        </is>
      </c>
      <c r="E74" s="21" t="n">
        <v>-13.694342688331</v>
      </c>
      <c r="F74" s="22" t="n">
        <v>-3.755774540778233</v>
      </c>
      <c r="G74" s="21" t="n">
        <v>3.46</v>
      </c>
      <c r="H74" s="21" t="n">
        <v>19.892</v>
      </c>
      <c r="I74" s="21" t="n">
        <v>17.154342688331</v>
      </c>
      <c r="J74" s="23" t="inlineStr">
        <is>
          <t>帳面被一次性支出壓低</t>
        </is>
      </c>
      <c r="K74" s="20" t="inlineStr">
        <is>
          <t>B</t>
        </is>
      </c>
    </row>
    <row r="75">
      <c r="A75" s="19" t="inlineStr">
        <is>
          <t>TEM</t>
        </is>
      </c>
      <c r="B75" s="20" t="inlineStr">
        <is>
          <t>Tempus AI, Inc.</t>
        </is>
      </c>
      <c r="C75" s="20" t="inlineStr">
        <is>
          <t>Technology</t>
        </is>
      </c>
      <c r="D75" s="20" t="inlineStr">
        <is>
          <t>2026-06-30</t>
        </is>
      </c>
      <c r="E75" s="21" t="n">
        <v>-11.234867612025</v>
      </c>
      <c r="F75" s="22" t="n">
        <v>-2.937327800762643</v>
      </c>
      <c r="G75" s="21" t="n">
        <v>5.642</v>
      </c>
      <c r="H75" s="21" t="n">
        <v>-75.913</v>
      </c>
      <c r="I75" s="21" t="n">
        <v>16.876867612025</v>
      </c>
      <c r="J75" s="23" t="inlineStr">
        <is>
          <t>帳面被一次性支出壓低</t>
        </is>
      </c>
      <c r="K75" s="20" t="inlineStr">
        <is>
          <t>B</t>
        </is>
      </c>
    </row>
    <row r="76">
      <c r="A76" s="19" t="inlineStr">
        <is>
          <t>CLDX</t>
        </is>
      </c>
      <c r="B76" s="20" t="inlineStr">
        <is>
          <t>Celldex Therapeutics, Inc.</t>
        </is>
      </c>
      <c r="C76" s="20" t="inlineStr">
        <is>
          <t>Health Care</t>
        </is>
      </c>
      <c r="D76" s="20" t="inlineStr">
        <is>
          <t>2026-06-30</t>
        </is>
      </c>
      <c r="E76" s="21" t="n">
        <v>7.12</v>
      </c>
      <c r="F76" s="22" t="n">
        <v>32363.63636363637</v>
      </c>
      <c r="G76" s="21" t="n">
        <v>-73.503</v>
      </c>
      <c r="H76" s="21" t="n">
        <v>-80.623</v>
      </c>
      <c r="I76" s="21" t="n">
        <v>-80.623</v>
      </c>
      <c r="J76" s="23" t="inlineStr">
        <is>
          <t>帳面被一次性收益美化</t>
        </is>
      </c>
      <c r="K76" s="20" t="inlineStr">
        <is>
          <t>D</t>
        </is>
      </c>
    </row>
    <row r="77">
      <c r="A77" s="19" t="inlineStr">
        <is>
          <t>WT</t>
        </is>
      </c>
      <c r="B77" s="20" t="inlineStr">
        <is>
          <t>WisdomTree, Inc.</t>
        </is>
      </c>
      <c r="C77" s="20" t="inlineStr">
        <is>
          <t>Finance</t>
        </is>
      </c>
      <c r="D77" s="20" t="inlineStr">
        <is>
          <t>2026-06-30</t>
        </is>
      </c>
      <c r="E77" s="21" t="n">
        <v>-6.883848600270001</v>
      </c>
      <c r="F77" s="22" t="n">
        <v>-3.885667532326711</v>
      </c>
      <c r="G77" s="21" t="n">
        <v>44.284</v>
      </c>
      <c r="H77" s="21" t="n">
        <v>72.929</v>
      </c>
      <c r="I77" s="21" t="n">
        <v>51.16784860027</v>
      </c>
      <c r="J77" s="23" t="inlineStr">
        <is>
          <t>帳面被一次性支出壓低</t>
        </is>
      </c>
      <c r="K77" s="20" t="inlineStr">
        <is>
          <t>A</t>
        </is>
      </c>
    </row>
    <row r="78">
      <c r="A78" s="19" t="inlineStr">
        <is>
          <t>NEO</t>
        </is>
      </c>
      <c r="B78" s="20" t="inlineStr">
        <is>
          <t>NeoGenomics, Inc.</t>
        </is>
      </c>
      <c r="C78" s="20" t="inlineStr">
        <is>
          <t>Health Care</t>
        </is>
      </c>
      <c r="D78" s="20" t="inlineStr">
        <is>
          <t>2026-06-30</t>
        </is>
      </c>
      <c r="E78" s="21" t="n">
        <v>6.708599999999999</v>
      </c>
      <c r="F78" s="22" t="n">
        <v>3.326754472963859</v>
      </c>
      <c r="G78" s="21" t="n">
        <v>2.238</v>
      </c>
      <c r="H78" s="21" t="n">
        <v>-9.771000000000001</v>
      </c>
      <c r="I78" s="21" t="n">
        <v>-4.470599999999999</v>
      </c>
      <c r="J78" s="23" t="inlineStr">
        <is>
          <t>帳面被一次性收益美化（剔除後盈虧號相反）</t>
        </is>
      </c>
      <c r="K78" s="20" t="inlineStr">
        <is>
          <t>B</t>
        </is>
      </c>
    </row>
    <row r="79">
      <c r="A79" s="19" t="inlineStr">
        <is>
          <t>ANGO</t>
        </is>
      </c>
      <c r="B79" s="20" t="inlineStr">
        <is>
          <t>AngioDynamics, Inc.</t>
        </is>
      </c>
      <c r="C79" s="20" t="inlineStr">
        <is>
          <t>Health Care</t>
        </is>
      </c>
      <c r="D79" s="20" t="inlineStr">
        <is>
          <t>2026-05-31</t>
        </is>
      </c>
      <c r="E79" s="21" t="n">
        <v>-2.8098</v>
      </c>
      <c r="F79" s="22" t="n">
        <v>-3.244310506079185</v>
      </c>
      <c r="G79" s="21" t="n">
        <v>-11.405</v>
      </c>
      <c r="H79" s="21" t="n">
        <v>-5.512</v>
      </c>
      <c r="I79" s="21" t="n">
        <v>-8.595199999999998</v>
      </c>
      <c r="J79" s="23" t="inlineStr">
        <is>
          <t>帳面被一次性支出壓低</t>
        </is>
      </c>
      <c r="K79" s="20" t="inlineStr">
        <is>
          <t>C</t>
        </is>
      </c>
    </row>
    <row r="80">
      <c r="A80" s="19" t="inlineStr">
        <is>
          <t>SOUN</t>
        </is>
      </c>
      <c r="B80" s="20" t="inlineStr">
        <is>
          <t>SoundHound AI, Inc.</t>
        </is>
      </c>
      <c r="C80" s="20" t="inlineStr">
        <is>
          <t>Technology</t>
        </is>
      </c>
      <c r="D80" s="20" t="inlineStr">
        <is>
          <t>2026-06-30</t>
        </is>
      </c>
      <c r="E80" s="21" t="n">
        <v>2.1348</v>
      </c>
      <c r="F80" s="22" t="n">
        <v>3.448955522884793</v>
      </c>
      <c r="G80" s="21" t="n">
        <v>-42.817</v>
      </c>
      <c r="H80" s="21" t="n">
        <v>-46.995</v>
      </c>
      <c r="I80" s="21" t="n">
        <v>-44.9518</v>
      </c>
      <c r="J80" s="23" t="inlineStr">
        <is>
          <t>帳面被一次性收益美化</t>
        </is>
      </c>
      <c r="K80" s="20" t="inlineStr">
        <is>
          <t>C</t>
        </is>
      </c>
    </row>
    <row r="81">
      <c r="A81" s="19" t="inlineStr">
        <is>
          <t>CYRX</t>
        </is>
      </c>
      <c r="B81" s="20" t="inlineStr">
        <is>
          <t>Cryoport, Inc.</t>
        </is>
      </c>
      <c r="C81" s="20" t="inlineStr">
        <is>
          <t>Health Care</t>
        </is>
      </c>
      <c r="D81" s="20" t="inlineStr">
        <is>
          <t>2026-06-30</t>
        </is>
      </c>
      <c r="E81" s="21" t="n">
        <v>1.8792</v>
      </c>
      <c r="F81" s="22" t="n">
        <v>3.837373139204836</v>
      </c>
      <c r="G81" s="21" t="n">
        <v>-10.255</v>
      </c>
      <c r="H81" s="21" t="n">
        <v>-10.039</v>
      </c>
      <c r="I81" s="21" t="n">
        <v>-12.1342</v>
      </c>
      <c r="J81" s="23" t="inlineStr">
        <is>
          <t>帳面被一次性收益美化</t>
        </is>
      </c>
      <c r="K81" s="20" t="inlineStr">
        <is>
          <t>D</t>
        </is>
      </c>
    </row>
    <row r="82">
      <c r="A82" s="19" t="inlineStr">
        <is>
          <t>BBAI</t>
        </is>
      </c>
      <c r="B82" s="20" t="inlineStr">
        <is>
          <t>BigBear.ai Holdings, Inc.</t>
        </is>
      </c>
      <c r="C82" s="20" t="inlineStr">
        <is>
          <t>Technology</t>
        </is>
      </c>
      <c r="D82" s="20" t="inlineStr">
        <is>
          <t>2026-06-30</t>
        </is>
      </c>
      <c r="E82" s="21" t="n">
        <v>-1.67</v>
      </c>
      <c r="F82" s="22" t="n">
        <v>-4.544341342621568</v>
      </c>
      <c r="G82" s="21" t="n">
        <v>-25.749</v>
      </c>
      <c r="H82" s="21" t="n">
        <v>-27.359</v>
      </c>
      <c r="I82" s="21" t="n">
        <v>-24.079</v>
      </c>
      <c r="J82" s="23" t="inlineStr">
        <is>
          <t>帳面被一次性支出壓低</t>
        </is>
      </c>
      <c r="K82" s="20" t="inlineStr">
        <is>
          <t>D</t>
        </is>
      </c>
    </row>
    <row r="83">
      <c r="A83" s="19" t="inlineStr">
        <is>
          <t>DNTH</t>
        </is>
      </c>
      <c r="B83" s="20" t="inlineStr">
        <is>
          <t>Dianthus Therapeutics, Inc.</t>
        </is>
      </c>
      <c r="C83" s="20" t="inlineStr">
        <is>
          <t>Health Care</t>
        </is>
      </c>
      <c r="D83" s="20" t="inlineStr">
        <is>
          <t>2026-06-30</t>
        </is>
      </c>
      <c r="E83" s="21" t="n">
        <v>0.095</v>
      </c>
      <c r="F83" s="22" t="n">
        <v>12.48357424441524</v>
      </c>
      <c r="G83" s="21" t="n">
        <v>-50.215</v>
      </c>
      <c r="H83" s="21" t="n">
        <v>-61.482</v>
      </c>
      <c r="I83" s="21" t="n">
        <v>-50.31</v>
      </c>
      <c r="J83" s="23" t="inlineStr">
        <is>
          <t>帳面被一次性收益美化</t>
        </is>
      </c>
      <c r="K83" s="20" t="inlineStr">
        <is>
          <t>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0" customWidth="1" min="3" max="3"/>
  </cols>
  <sheetData>
    <row r="1">
      <c r="A1" s="17" t="inlineStr">
        <is>
          <t>按四季營運利潤（經常性口徑）方向分組 — 與帳面淨利分級的差異就是拆解的價值</t>
        </is>
      </c>
    </row>
    <row r="3">
      <c r="A3" s="24" t="inlineStr">
        <is>
          <t>軌跡</t>
        </is>
      </c>
      <c r="B3" s="24" t="inlineStr">
        <is>
          <t>數量</t>
        </is>
      </c>
      <c r="C3" s="24" t="inlineStr">
        <is>
          <t>代號</t>
        </is>
      </c>
    </row>
    <row r="4" ht="140" customHeight="1">
      <c r="A4" s="25" t="inlineStr">
        <is>
          <t>四季皆正</t>
        </is>
      </c>
      <c r="B4" s="18" t="n">
        <v>208</v>
      </c>
      <c r="C4" s="26" t="inlineStr">
        <is>
          <t>ABBV、AEO、ALAB、AMAL、AMAT、AMD、AMN、AMRX、AMZN、ANET、APLE、APP、ARM、ASML、ATI、AVGO、AWR、AXP、BAC、BE、BFH、BIRK、BNS、BNY、BOOT、BRKR、BX、CAH、CAT、CBL、CCBG、CCJ、CDNS、CDP、CF、CGNX、CHRD、CIEN、CLDT、CLS、CM、CME、CNI、CNQ、COHR、COST、CRDO、CRM、CSX、CVE、CVX、CXW、DASH、DELL、DINO、DRH、DUOL、EBC、ENVA、EOG、EQNR、ETN、ETR、EXPD、FANG、FBP、FCFS、FCX、FN、FTI、FTNT、GAP、GD、GEO、GEV、GILD、GL、GLW、GNK、GOOGL、GS、GWW、H、HG、HII、HLT、HOOD、HPE、HSBC、HSHP、HST、HTO、HUBB、IBKR、ICE、IMO、INSW、INTC、ISRG、JAZZ、JBL、JNJ、JPM、KARO、KFRC、KFY、KKR、KLAC、KNSA、KO、LH、LITE、LLY、LMT、LOB、LQDA、LRCX、LULU、MA、MAR、MATX、MAX、MCHP、MEDP、MEOH、MET、META、MOD、MPWR、MRVL、MS、MSFT、MU、NEE、NEM、NFLX、NHC、NKE、NOW、NSC、NVDA、NWBI、OFG、ORCL、OXY、PARR、PBR、PCAR、PEB、PGC、PK、PKE、PLTR、PNC、PWR、QCOM、RDDT、REGN、REX、ROST、RPRX、RRBI、RTX、RUSHB、SBUX、SENEA、SLDE、SMCI、SNPS、SNX、SOBO、SPOT、STT、SU、TD、TER、TGT、TGTX、TIGO、TJX、TPR、TRGP、TRST、TSLA、TSM、TXRH、UBSI、UFPT、UNF、UNH、UNM、UNP、URBN、V、VCYT、VOYA、VRT、VRTX、VST、WDC、WKC、WSFS、WST、WT、WTTR、XOM、XPO、ZD</t>
        </is>
      </c>
    </row>
    <row r="5" ht="14" customHeight="1">
      <c r="A5" s="25" t="inlineStr">
        <is>
          <t>由虧轉正</t>
        </is>
      </c>
      <c r="B5" s="18" t="n">
        <v>14</v>
      </c>
      <c r="C5" s="26" t="inlineStr">
        <is>
          <t>AXON、AXTI、BA、BJRI、BLFS、CNC、DDOG、FLR、IOT、KMX、MDB、MNDY、MSGS、PBF</t>
        </is>
      </c>
    </row>
    <row r="6" ht="14" customHeight="1">
      <c r="A6" s="25" t="inlineStr">
        <is>
          <t>反覆</t>
        </is>
      </c>
      <c r="B6" s="18" t="n">
        <v>10</v>
      </c>
      <c r="C6" s="26" t="inlineStr">
        <is>
          <t>ALRS、CORT、CRWD、DD、LUMN、OLN、OUST、TLN、UHAL、VSAT</t>
        </is>
      </c>
    </row>
    <row r="7" ht="14" customHeight="1">
      <c r="A7" s="25" t="inlineStr">
        <is>
          <t>由正轉虧</t>
        </is>
      </c>
      <c r="B7" s="18" t="n">
        <v>9</v>
      </c>
      <c r="C7" s="26" t="inlineStr">
        <is>
          <t>ADPT、ARWR、AXGN、CEG、COIN、CRWV、GSAT、MRK、PANW</t>
        </is>
      </c>
    </row>
    <row r="8" ht="14" customHeight="1">
      <c r="A8" s="25" t="inlineStr">
        <is>
          <t>四季皆虧（收窄）</t>
        </is>
      </c>
      <c r="B8" s="18" t="n">
        <v>10</v>
      </c>
      <c r="C8" s="26" t="inlineStr">
        <is>
          <t>AI、ANGO、IOVA、NEO、RCUS、RDW、SMR、SNOW、SOUN、ZS</t>
        </is>
      </c>
    </row>
    <row r="9" ht="28" customHeight="1">
      <c r="A9" s="25" t="inlineStr">
        <is>
          <t>四季皆虧（擴大）</t>
        </is>
      </c>
      <c r="B9" s="18" t="n">
        <v>22</v>
      </c>
      <c r="C9" s="26" t="inlineStr">
        <is>
          <t>AAOI、APLD、BBAI、CBIO、CBRS、CLDX、CYRX、DNTH、ELVN、IREN、MBX、MRNA、NBIS、NET、OKLO、PVLA、RAPP、RLAY、RVMD、SYRE、TEM、TRVI</t>
        </is>
      </c>
    </row>
    <row r="10" ht="14" customHeight="1">
      <c r="A10" s="25" t="inlineStr">
        <is>
          <t>—</t>
        </is>
      </c>
      <c r="B10" s="18" t="n">
        <v>1</v>
      </c>
      <c r="C10" s="26" t="inlineStr">
        <is>
          <t>HMY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8" customWidth="1" min="4" max="4"/>
    <col width="120" customWidth="1" min="5" max="5"/>
  </cols>
  <sheetData>
    <row r="1">
      <c r="A1" s="17" t="inlineStr">
        <is>
          <t>分級彙總 — 機械判定（數量由 COUNTIF 連動「營收營利表」Z 欄）</t>
        </is>
      </c>
    </row>
    <row r="3">
      <c r="A3" s="24" t="inlineStr">
        <is>
          <t>級</t>
        </is>
      </c>
      <c r="B3" s="24" t="inlineStr">
        <is>
          <t>定義</t>
        </is>
      </c>
      <c r="C3" s="24" t="inlineStr">
        <is>
          <t>數量</t>
        </is>
      </c>
      <c r="D3" s="24" t="inlineStr">
        <is>
          <t>佔比</t>
        </is>
      </c>
      <c r="E3" s="24" t="inlineStr">
        <is>
          <t>Tickers</t>
        </is>
      </c>
    </row>
    <row r="4" ht="168" customHeight="1">
      <c r="A4" s="27" t="inlineStr">
        <is>
          <t>A</t>
        </is>
      </c>
      <c r="B4" s="18" t="inlineStr">
        <is>
          <t>四季營運利潤皆正且最新季淨利為正（經常性已盈利）</t>
        </is>
      </c>
      <c r="C4" s="18">
        <f>COUNTIF(營收營利表!Z:Z,"A")</f>
        <v/>
      </c>
      <c r="D4" s="28" t="n">
        <v>0.7445255474452555</v>
      </c>
      <c r="E4" s="26" t="inlineStr">
        <is>
          <t>ABBV、AEO、ALAB、AMAL、AMAT、AMD、AMN、AMRX、AMZN、ANET、APLE、APP、ARM、ASML、ATI、AVGO、AWR、AXP、BAC、BE、BFH、BIRK、BNS、BNY、BOOT、BX、CAH、CAT、CBL、CCBG、CCJ、CDNS、CDP、CF、CGNX、CHRD、CIEN、CLDT、CLS、CM、CME、CNI、CNQ、COHR、COST、CRDO、CRM、CSX、CVE、CVX、CXW、DASH、DELL、DINO、DRH、DUOL、EBC、ENVA、EOG、EQNR、ETN、ETR、EXPD、FANG、FBP、FCFS、FCX、FN、FTI、FTNT、GAP、GD、GEO、GEV、GL、GLW、GNK、GOOGL、GS、GWW、H、HG、HII、HLT、HOOD、HPE、HSBC、HSHP、HST、HTO、HUBB、IBKR、ICE、IMO、INSW、ISRG、JAZZ、JBL、JNJ、JPM、KARO、KFRC、KFY、KKR、KLAC、KNSA、KO、LH、LLY、LMT、LOB、LQDA、LRCX、LULU、MA、MAR、MATX、MAX、MCHP、MEDP、MEOH、MET、META、MOD、MPWR、MRVL、MS、MSFT、MU、NEE、NEM、NFLX、NHC、NKE、NOW、NSC、NVDA、NWBI、OFG、ORCL、OXY、PARR、PBR、PCAR、PEB、PGC、PK、PKE、PLTR、PNC、PWR、QCOM、RDDT、REGN、REX、ROST、RPRX、RRBI、RTX、RUSHB、SBUX、SENEA、SLDE、SMCI、SNPS、SNX、SOBO、SPOT、STT、SU、TD、TER、TGT、TGTX、TIGO、TJX、TPR、TRGP、TRST、TSLA、TSM、TXRH、UBSI、UFPT、UNF、UNH、UNM、UNP、URBN、V、VCYT、VOYA、VRT、VRTX、VST、WDC、WKC、WSFS、WST、WT、WTTR、XOM、XPO、ZD</t>
        </is>
      </c>
    </row>
    <row r="5" ht="28" customHeight="1">
      <c r="A5" s="29" t="inlineStr">
        <is>
          <t>B</t>
        </is>
      </c>
      <c r="B5" s="18" t="inlineStr">
        <is>
          <t>最新季已盈利，但四季未全正或淨利與營運方向不一致</t>
        </is>
      </c>
      <c r="C5" s="18">
        <f>COUNTIF(營收營利表!Z:Z,"B")</f>
        <v/>
      </c>
      <c r="D5" s="28" t="n">
        <v>0.1058394160583942</v>
      </c>
      <c r="E5" s="26" t="inlineStr">
        <is>
          <t>ALRS、AXON、AXTI、BA、BJRI、BLFS、BRKR、CEG、CNC、CORT、CRWD、DD、DDOG、FLR、GILD、INTC、IOT、KMX、LITE、MDB、MNDY、MSGS、NEO、OLN、PBF、TEM、TLN、UHAL、VSAT</t>
        </is>
      </c>
    </row>
    <row r="6" ht="14" customHeight="1">
      <c r="A6" s="30" t="inlineStr">
        <is>
          <t>C</t>
        </is>
      </c>
      <c r="B6" s="18" t="inlineStr">
        <is>
          <t>營運仍虧損，但較 Q-3 收窄</t>
        </is>
      </c>
      <c r="C6" s="18">
        <f>COUNTIF(營收營利表!Z:Z,"C")</f>
        <v/>
      </c>
      <c r="D6" s="28" t="n">
        <v>0.04014598540145985</v>
      </c>
      <c r="E6" s="26" t="inlineStr">
        <is>
          <t>AI、ANGO、IOVA、LUMN、OUST、RCUS、RDW、SMR、SNOW、SOUN、ZS</t>
        </is>
      </c>
    </row>
    <row r="7" ht="28" customHeight="1">
      <c r="A7" s="31" t="inlineStr">
        <is>
          <t>D</t>
        </is>
      </c>
      <c r="B7" s="18" t="inlineStr">
        <is>
          <t>營運仍虧損且未見收窄</t>
        </is>
      </c>
      <c r="C7" s="18">
        <f>COUNTIF(營收營利表!Z:Z,"D")</f>
        <v/>
      </c>
      <c r="D7" s="28" t="n">
        <v>0.1058394160583942</v>
      </c>
      <c r="E7" s="26" t="inlineStr">
        <is>
          <t>AAOI、ADPT、APLD、ARWR、AXGN、BBAI、CBIO、CBRS、CLDX、COIN、CRWV、CYRX、DNTH、ELVN、GSAT、IREN、MBX、MRK、MRNA、NBIS、NET、OKLO、PANW、PVLA、RAPP、RLAY、RVMD、SYRE、TRVI</t>
        </is>
      </c>
    </row>
    <row r="8" ht="14" customHeight="1">
      <c r="A8" s="32" t="inlineStr">
        <is>
          <t>—</t>
        </is>
      </c>
      <c r="B8" s="18" t="inlineStr">
        <is>
          <t>Yahoo 無足夠季度損益表數據</t>
        </is>
      </c>
      <c r="C8" s="18">
        <f>COUNTIF(營收營利表!Z:Z,"—")</f>
        <v/>
      </c>
      <c r="D8" s="28" t="n">
        <v>0.00364963503649635</v>
      </c>
      <c r="E8" s="26" t="inlineStr">
        <is>
          <t>HMY</t>
        </is>
      </c>
    </row>
    <row r="10">
      <c r="A10" s="33" t="inlineStr">
        <is>
          <t>板塊 × 級別（隻數）</t>
        </is>
      </c>
    </row>
    <row r="11">
      <c r="A11" s="34" t="inlineStr">
        <is>
          <t>板塊</t>
        </is>
      </c>
      <c r="B11" s="24" t="inlineStr">
        <is>
          <t>A</t>
        </is>
      </c>
      <c r="C11" s="24" t="inlineStr">
        <is>
          <t>B</t>
        </is>
      </c>
      <c r="D11" s="24" t="inlineStr">
        <is>
          <t>C</t>
        </is>
      </c>
      <c r="E11" s="24" t="inlineStr">
        <is>
          <t>D</t>
        </is>
      </c>
      <c r="F11" s="24" t="inlineStr">
        <is>
          <t>—</t>
        </is>
      </c>
    </row>
    <row r="12">
      <c r="A12" s="18" t="inlineStr">
        <is>
          <t>Basic Materials</t>
        </is>
      </c>
      <c r="B12" s="35" t="n">
        <v>3</v>
      </c>
      <c r="C12" s="35" t="n"/>
      <c r="D12" s="35" t="n"/>
      <c r="E12" s="35" t="n"/>
      <c r="F12" s="35" t="n">
        <v>1</v>
      </c>
    </row>
    <row r="13">
      <c r="A13" s="18" t="inlineStr">
        <is>
          <t>Consumer Discretionary</t>
        </is>
      </c>
      <c r="B13" s="35" t="n">
        <v>40</v>
      </c>
      <c r="C13" s="35" t="n">
        <v>5</v>
      </c>
      <c r="D13" s="35" t="n"/>
      <c r="E13" s="35" t="n">
        <v>1</v>
      </c>
      <c r="F13" s="35" t="n"/>
    </row>
    <row r="14">
      <c r="A14" s="18" t="inlineStr">
        <is>
          <t>Consumer Staples</t>
        </is>
      </c>
      <c r="B14" s="35" t="n">
        <v>2</v>
      </c>
      <c r="C14" s="35" t="n"/>
      <c r="D14" s="35" t="n"/>
      <c r="E14" s="35" t="n"/>
      <c r="F14" s="35" t="n"/>
    </row>
    <row r="15">
      <c r="A15" s="18" t="inlineStr">
        <is>
          <t>Energy</t>
        </is>
      </c>
      <c r="B15" s="35" t="n">
        <v>18</v>
      </c>
      <c r="C15" s="35" t="n">
        <v>1</v>
      </c>
      <c r="D15" s="35" t="n"/>
      <c r="E15" s="35" t="n"/>
      <c r="F15" s="35" t="n"/>
    </row>
    <row r="16">
      <c r="A16" s="18" t="inlineStr">
        <is>
          <t>Finance</t>
        </is>
      </c>
      <c r="B16" s="35" t="n">
        <v>38</v>
      </c>
      <c r="C16" s="35" t="n">
        <v>1</v>
      </c>
      <c r="D16" s="35" t="n"/>
      <c r="E16" s="35" t="n">
        <v>2</v>
      </c>
      <c r="F16" s="35" t="n"/>
    </row>
    <row r="17">
      <c r="A17" s="18" t="inlineStr">
        <is>
          <t>Health Care</t>
        </is>
      </c>
      <c r="B17" s="35" t="n">
        <v>20</v>
      </c>
      <c r="C17" s="35" t="n">
        <v>5</v>
      </c>
      <c r="D17" s="35" t="n">
        <v>3</v>
      </c>
      <c r="E17" s="35" t="n">
        <v>17</v>
      </c>
      <c r="F17" s="35" t="n"/>
    </row>
    <row r="18">
      <c r="A18" s="18" t="inlineStr">
        <is>
          <t>Industrials</t>
        </is>
      </c>
      <c r="B18" s="35" t="n">
        <v>22</v>
      </c>
      <c r="C18" s="35" t="n">
        <v>6</v>
      </c>
      <c r="D18" s="35" t="n">
        <v>3</v>
      </c>
      <c r="E18" s="35" t="n"/>
      <c r="F18" s="35" t="n"/>
    </row>
    <row r="19">
      <c r="A19" s="18" t="inlineStr">
        <is>
          <t>Real Estate</t>
        </is>
      </c>
      <c r="B19" s="35" t="n">
        <v>8</v>
      </c>
      <c r="C19" s="35" t="n"/>
      <c r="D19" s="35" t="n"/>
      <c r="E19" s="35" t="n"/>
      <c r="F19" s="35" t="n"/>
    </row>
    <row r="20">
      <c r="A20" s="18" t="inlineStr">
        <is>
          <t>Technology</t>
        </is>
      </c>
      <c r="B20" s="35" t="n">
        <v>42</v>
      </c>
      <c r="C20" s="35" t="n">
        <v>8</v>
      </c>
      <c r="D20" s="35" t="n">
        <v>4</v>
      </c>
      <c r="E20" s="35" t="n">
        <v>8</v>
      </c>
      <c r="F20" s="35" t="n"/>
    </row>
    <row r="21">
      <c r="A21" s="18" t="inlineStr">
        <is>
          <t>Telecommunications</t>
        </is>
      </c>
      <c r="B21" s="35" t="n">
        <v>3</v>
      </c>
      <c r="C21" s="35" t="n">
        <v>1</v>
      </c>
      <c r="D21" s="35" t="n">
        <v>1</v>
      </c>
      <c r="E21" s="35" t="n"/>
      <c r="F21" s="35" t="n"/>
    </row>
    <row r="22">
      <c r="A22" s="18" t="inlineStr">
        <is>
          <t>Utilities</t>
        </is>
      </c>
      <c r="B22" s="35" t="n">
        <v>8</v>
      </c>
      <c r="C22" s="35" t="n">
        <v>2</v>
      </c>
      <c r="D22" s="35" t="n"/>
      <c r="E22" s="35" t="n">
        <v>1</v>
      </c>
      <c r="F22" s="3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5" customWidth="1" min="4" max="4"/>
    <col width="62" customWidth="1" min="5" max="5"/>
  </cols>
  <sheetData>
    <row r="1">
      <c r="A1" s="17" t="inlineStr">
        <is>
          <t>274 隻 TradingView 圖表連結一覽 — 點 B 欄開圖（layout 沿用 Combined Watchlist）</t>
        </is>
      </c>
    </row>
    <row r="3">
      <c r="A3" s="24" t="inlineStr">
        <is>
          <t>#</t>
        </is>
      </c>
      <c r="B3" s="24" t="inlineStr">
        <is>
          <t>美股</t>
        </is>
      </c>
      <c r="C3" s="24" t="inlineStr">
        <is>
          <t>公司</t>
        </is>
      </c>
      <c r="D3" s="24" t="inlineStr">
        <is>
          <t>級</t>
        </is>
      </c>
      <c r="E3" s="24" t="inlineStr">
        <is>
          <t>純文字 URL</t>
        </is>
      </c>
    </row>
    <row r="4">
      <c r="A4" s="18" t="n">
        <v>1</v>
      </c>
      <c r="B4" s="36" t="inlineStr">
        <is>
          <t>NVDA</t>
        </is>
      </c>
      <c r="C4" s="18" t="inlineStr">
        <is>
          <t>NVIDIA Corporation</t>
        </is>
      </c>
      <c r="D4" s="18" t="inlineStr">
        <is>
          <t>A</t>
        </is>
      </c>
      <c r="E4" s="18" t="inlineStr">
        <is>
          <t>https://www.tradingview.com/chart/?symbol=nasdaq:nvda</t>
        </is>
      </c>
    </row>
    <row r="5">
      <c r="A5" s="18" t="n">
        <v>2</v>
      </c>
      <c r="B5" s="36" t="inlineStr">
        <is>
          <t>GOOGL</t>
        </is>
      </c>
      <c r="C5" s="18" t="inlineStr">
        <is>
          <t>Alphabet Inc.</t>
        </is>
      </c>
      <c r="D5" s="18" t="inlineStr">
        <is>
          <t>A</t>
        </is>
      </c>
      <c r="E5" s="18" t="inlineStr">
        <is>
          <t>https://www.tradingview.com/chart/?symbol=nasdaq:googl</t>
        </is>
      </c>
    </row>
    <row r="6">
      <c r="A6" s="18" t="n">
        <v>3</v>
      </c>
      <c r="B6" s="36" t="inlineStr">
        <is>
          <t>MSFT</t>
        </is>
      </c>
      <c r="C6" s="18" t="inlineStr">
        <is>
          <t>Microsoft Corporation</t>
        </is>
      </c>
      <c r="D6" s="18" t="inlineStr">
        <is>
          <t>A</t>
        </is>
      </c>
      <c r="E6" s="18" t="inlineStr">
        <is>
          <t>https://www.tradingview.com/chart/?symbol=nasdaq:msft</t>
        </is>
      </c>
    </row>
    <row r="7">
      <c r="A7" s="18" t="n">
        <v>4</v>
      </c>
      <c r="B7" s="36" t="inlineStr">
        <is>
          <t>AMZN</t>
        </is>
      </c>
      <c r="C7" s="18" t="inlineStr">
        <is>
          <t>Amazon.com, Inc.</t>
        </is>
      </c>
      <c r="D7" s="18" t="inlineStr">
        <is>
          <t>A</t>
        </is>
      </c>
      <c r="E7" s="18" t="inlineStr">
        <is>
          <t>https://www.tradingview.com/chart/?symbol=nasdaq:amzn</t>
        </is>
      </c>
    </row>
    <row r="8">
      <c r="A8" s="18" t="n">
        <v>5</v>
      </c>
      <c r="B8" s="36" t="inlineStr">
        <is>
          <t>TSM</t>
        </is>
      </c>
      <c r="C8" s="18" t="inlineStr">
        <is>
          <t>Taiwan Semiconductor Manufacturing Company Limited</t>
        </is>
      </c>
      <c r="D8" s="18" t="inlineStr">
        <is>
          <t>A</t>
        </is>
      </c>
      <c r="E8" s="18" t="inlineStr">
        <is>
          <t>https://www.tradingview.com/chart/?symbol=nyse:tsm</t>
        </is>
      </c>
    </row>
    <row r="9">
      <c r="A9" s="18" t="n">
        <v>6</v>
      </c>
      <c r="B9" s="36" t="inlineStr">
        <is>
          <t>AVGO</t>
        </is>
      </c>
      <c r="C9" s="18" t="inlineStr">
        <is>
          <t>Broadcom Inc.</t>
        </is>
      </c>
      <c r="D9" s="18" t="inlineStr">
        <is>
          <t>A</t>
        </is>
      </c>
      <c r="E9" s="18" t="inlineStr">
        <is>
          <t>https://www.tradingview.com/chart/?symbol=nasdaq:avgo</t>
        </is>
      </c>
    </row>
    <row r="10">
      <c r="A10" s="18" t="n">
        <v>7</v>
      </c>
      <c r="B10" s="36" t="inlineStr">
        <is>
          <t>META</t>
        </is>
      </c>
      <c r="C10" s="18" t="inlineStr">
        <is>
          <t>Meta Platforms, Inc.</t>
        </is>
      </c>
      <c r="D10" s="18" t="inlineStr">
        <is>
          <t>A</t>
        </is>
      </c>
      <c r="E10" s="18" t="inlineStr">
        <is>
          <t>https://www.tradingview.com/chart/?symbol=nasdaq:meta</t>
        </is>
      </c>
    </row>
    <row r="11">
      <c r="A11" s="18" t="n">
        <v>8</v>
      </c>
      <c r="B11" s="36" t="inlineStr">
        <is>
          <t>TSLA</t>
        </is>
      </c>
      <c r="C11" s="18" t="inlineStr">
        <is>
          <t>Tesla, Inc.</t>
        </is>
      </c>
      <c r="D11" s="18" t="inlineStr">
        <is>
          <t>A</t>
        </is>
      </c>
      <c r="E11" s="18" t="inlineStr">
        <is>
          <t>https://www.tradingview.com/chart/?symbol=nasdaq:tsla</t>
        </is>
      </c>
    </row>
    <row r="12">
      <c r="A12" s="18" t="n">
        <v>9</v>
      </c>
      <c r="B12" s="36" t="inlineStr">
        <is>
          <t>MU</t>
        </is>
      </c>
      <c r="C12" s="18" t="inlineStr">
        <is>
          <t>Micron Technology, Inc.</t>
        </is>
      </c>
      <c r="D12" s="18" t="inlineStr">
        <is>
          <t>A</t>
        </is>
      </c>
      <c r="E12" s="18" t="inlineStr">
        <is>
          <t>https://www.tradingview.com/chart/?symbol=nasdaq:mu</t>
        </is>
      </c>
    </row>
    <row r="13">
      <c r="A13" s="18" t="n">
        <v>10</v>
      </c>
      <c r="B13" s="36" t="inlineStr">
        <is>
          <t>LLY</t>
        </is>
      </c>
      <c r="C13" s="18" t="inlineStr">
        <is>
          <t>Eli Lilly and Company</t>
        </is>
      </c>
      <c r="D13" s="18" t="inlineStr">
        <is>
          <t>A</t>
        </is>
      </c>
      <c r="E13" s="18" t="inlineStr">
        <is>
          <t>https://www.tradingview.com/chart/?symbol=nyse:lly</t>
        </is>
      </c>
    </row>
    <row r="14">
      <c r="A14" s="18" t="n">
        <v>11</v>
      </c>
      <c r="B14" s="36" t="inlineStr">
        <is>
          <t>JPM</t>
        </is>
      </c>
      <c r="C14" s="18" t="inlineStr">
        <is>
          <t>JPMorgan Chase &amp; Co.</t>
        </is>
      </c>
      <c r="D14" s="18" t="inlineStr">
        <is>
          <t>A</t>
        </is>
      </c>
      <c r="E14" s="18" t="inlineStr">
        <is>
          <t>https://www.tradingview.com/chart/?symbol=nyse:jpm</t>
        </is>
      </c>
    </row>
    <row r="15">
      <c r="A15" s="18" t="n">
        <v>12</v>
      </c>
      <c r="B15" s="36" t="inlineStr">
        <is>
          <t>AMD</t>
        </is>
      </c>
      <c r="C15" s="18" t="inlineStr">
        <is>
          <t>Advanced Micro Devices, Inc.</t>
        </is>
      </c>
      <c r="D15" s="18" t="inlineStr">
        <is>
          <t>A</t>
        </is>
      </c>
      <c r="E15" s="18" t="inlineStr">
        <is>
          <t>https://www.tradingview.com/chart/?symbol=nasdaq:amd</t>
        </is>
      </c>
    </row>
    <row r="16">
      <c r="A16" s="18" t="n">
        <v>13</v>
      </c>
      <c r="B16" s="36" t="inlineStr">
        <is>
          <t>V</t>
        </is>
      </c>
      <c r="C16" s="18" t="inlineStr">
        <is>
          <t>Visa Inc.</t>
        </is>
      </c>
      <c r="D16" s="18" t="inlineStr">
        <is>
          <t>A</t>
        </is>
      </c>
      <c r="E16" s="18" t="inlineStr">
        <is>
          <t>https://www.tradingview.com/chart/?symbol=nyse:v</t>
        </is>
      </c>
    </row>
    <row r="17">
      <c r="A17" s="18" t="n">
        <v>14</v>
      </c>
      <c r="B17" s="36" t="inlineStr">
        <is>
          <t>JNJ</t>
        </is>
      </c>
      <c r="C17" s="18" t="inlineStr">
        <is>
          <t>Johnson &amp; Johnson</t>
        </is>
      </c>
      <c r="D17" s="18" t="inlineStr">
        <is>
          <t>A</t>
        </is>
      </c>
      <c r="E17" s="18" t="inlineStr">
        <is>
          <t>https://www.tradingview.com/chart/?symbol=nyse:jnj</t>
        </is>
      </c>
    </row>
    <row r="18">
      <c r="A18" s="18" t="n">
        <v>15</v>
      </c>
      <c r="B18" s="36" t="inlineStr">
        <is>
          <t>ASML</t>
        </is>
      </c>
      <c r="C18" s="18" t="inlineStr">
        <is>
          <t>ASML Holding N.V.</t>
        </is>
      </c>
      <c r="D18" s="18" t="inlineStr">
        <is>
          <t>A</t>
        </is>
      </c>
      <c r="E18" s="18" t="inlineStr">
        <is>
          <t>https://www.tradingview.com/chart/?symbol=nasdaq:asml</t>
        </is>
      </c>
    </row>
    <row r="19">
      <c r="A19" s="18" t="n">
        <v>16</v>
      </c>
      <c r="B19" s="36" t="inlineStr">
        <is>
          <t>XOM</t>
        </is>
      </c>
      <c r="C19" s="18" t="inlineStr">
        <is>
          <t>ExxonMobil Holdings Corporation</t>
        </is>
      </c>
      <c r="D19" s="18" t="inlineStr">
        <is>
          <t>A</t>
        </is>
      </c>
      <c r="E19" s="18" t="inlineStr">
        <is>
          <t>https://www.tradingview.com/chart/?symbol=nyse:xom</t>
        </is>
      </c>
    </row>
    <row r="20">
      <c r="A20" s="18" t="n">
        <v>17</v>
      </c>
      <c r="B20" s="36" t="inlineStr">
        <is>
          <t>MA</t>
        </is>
      </c>
      <c r="C20" s="18" t="inlineStr">
        <is>
          <t>Mastercard Incorporated</t>
        </is>
      </c>
      <c r="D20" s="18" t="inlineStr">
        <is>
          <t>A</t>
        </is>
      </c>
      <c r="E20" s="18" t="inlineStr">
        <is>
          <t>https://www.tradingview.com/chart/?symbol=nyse:ma</t>
        </is>
      </c>
    </row>
    <row r="21">
      <c r="A21" s="18" t="n">
        <v>18</v>
      </c>
      <c r="B21" s="36" t="inlineStr">
        <is>
          <t>ORCL</t>
        </is>
      </c>
      <c r="C21" s="18" t="inlineStr">
        <is>
          <t>Oracle Corporation</t>
        </is>
      </c>
      <c r="D21" s="18" t="inlineStr">
        <is>
          <t>A</t>
        </is>
      </c>
      <c r="E21" s="18" t="inlineStr">
        <is>
          <t>https://www.tradingview.com/chart/?symbol=nyse:orcl</t>
        </is>
      </c>
    </row>
    <row r="22">
      <c r="A22" s="18" t="n">
        <v>19</v>
      </c>
      <c r="B22" s="36" t="inlineStr">
        <is>
          <t>ABBV</t>
        </is>
      </c>
      <c r="C22" s="18" t="inlineStr">
        <is>
          <t>AbbVie Inc.</t>
        </is>
      </c>
      <c r="D22" s="18" t="inlineStr">
        <is>
          <t>A</t>
        </is>
      </c>
      <c r="E22" s="18" t="inlineStr">
        <is>
          <t>https://www.tradingview.com/chart/?symbol=nyse:abbv</t>
        </is>
      </c>
    </row>
    <row r="23">
      <c r="A23" s="18" t="n">
        <v>20</v>
      </c>
      <c r="B23" s="36" t="inlineStr">
        <is>
          <t>BAC</t>
        </is>
      </c>
      <c r="C23" s="18" t="inlineStr">
        <is>
          <t>Bank of America Corporation</t>
        </is>
      </c>
      <c r="D23" s="18" t="inlineStr">
        <is>
          <t>A</t>
        </is>
      </c>
      <c r="E23" s="18" t="inlineStr">
        <is>
          <t>https://www.tradingview.com/chart/?symbol=nyse:bac</t>
        </is>
      </c>
    </row>
    <row r="24">
      <c r="A24" s="18" t="n">
        <v>21</v>
      </c>
      <c r="B24" s="36" t="inlineStr">
        <is>
          <t>PLTR</t>
        </is>
      </c>
      <c r="C24" s="18" t="inlineStr">
        <is>
          <t>Palantir Technologies Inc.</t>
        </is>
      </c>
      <c r="D24" s="18" t="inlineStr">
        <is>
          <t>A</t>
        </is>
      </c>
      <c r="E24" s="18" t="inlineStr">
        <is>
          <t>https://www.tradingview.com/chart/?symbol=nasdaq:pltr</t>
        </is>
      </c>
    </row>
    <row r="25">
      <c r="A25" s="18" t="n">
        <v>22</v>
      </c>
      <c r="B25" s="36" t="inlineStr">
        <is>
          <t>CVX</t>
        </is>
      </c>
      <c r="C25" s="18" t="inlineStr">
        <is>
          <t>Chevron Corporation</t>
        </is>
      </c>
      <c r="D25" s="18" t="inlineStr">
        <is>
          <t>A</t>
        </is>
      </c>
      <c r="E25" s="18" t="inlineStr">
        <is>
          <t>https://www.tradingview.com/chart/?symbol=nyse:cvx</t>
        </is>
      </c>
    </row>
    <row r="26">
      <c r="A26" s="18" t="n">
        <v>23</v>
      </c>
      <c r="B26" s="36" t="inlineStr">
        <is>
          <t>COST</t>
        </is>
      </c>
      <c r="C26" s="18" t="inlineStr">
        <is>
          <t>Costco Wholesale Corporation</t>
        </is>
      </c>
      <c r="D26" s="18" t="inlineStr">
        <is>
          <t>A</t>
        </is>
      </c>
      <c r="E26" s="18" t="inlineStr">
        <is>
          <t>https://www.tradingview.com/chart/?symbol=nasdaq:cost</t>
        </is>
      </c>
    </row>
    <row r="27">
      <c r="A27" s="18" t="n">
        <v>24</v>
      </c>
      <c r="B27" s="36" t="inlineStr">
        <is>
          <t>LRCX</t>
        </is>
      </c>
      <c r="C27" s="18" t="inlineStr">
        <is>
          <t>Lam Research Corporation</t>
        </is>
      </c>
      <c r="D27" s="18" t="inlineStr">
        <is>
          <t>A</t>
        </is>
      </c>
      <c r="E27" s="18" t="inlineStr">
        <is>
          <t>https://www.tradingview.com/chart/?symbol=nasdaq:lrcx</t>
        </is>
      </c>
    </row>
    <row r="28">
      <c r="A28" s="18" t="n">
        <v>25</v>
      </c>
      <c r="B28" s="36" t="inlineStr">
        <is>
          <t>KO</t>
        </is>
      </c>
      <c r="C28" s="18" t="inlineStr">
        <is>
          <t>The Coca-Cola Company</t>
        </is>
      </c>
      <c r="D28" s="18" t="inlineStr">
        <is>
          <t>A</t>
        </is>
      </c>
      <c r="E28" s="18" t="inlineStr">
        <is>
          <t>https://www.tradingview.com/chart/?symbol=nyse:ko</t>
        </is>
      </c>
    </row>
    <row r="29">
      <c r="A29" s="18" t="n">
        <v>26</v>
      </c>
      <c r="B29" s="36" t="inlineStr">
        <is>
          <t>CAT</t>
        </is>
      </c>
      <c r="C29" s="18" t="inlineStr">
        <is>
          <t>Caterpillar Inc.</t>
        </is>
      </c>
      <c r="D29" s="18" t="inlineStr">
        <is>
          <t>A</t>
        </is>
      </c>
      <c r="E29" s="18" t="inlineStr">
        <is>
          <t>https://www.tradingview.com/chart/?symbol=nyse:cat</t>
        </is>
      </c>
    </row>
    <row r="30">
      <c r="A30" s="18" t="n">
        <v>27</v>
      </c>
      <c r="B30" s="36" t="inlineStr">
        <is>
          <t>HSBC</t>
        </is>
      </c>
      <c r="C30" s="18" t="inlineStr">
        <is>
          <t>HSBC Holdings plc</t>
        </is>
      </c>
      <c r="D30" s="18" t="inlineStr">
        <is>
          <t>A</t>
        </is>
      </c>
      <c r="E30" s="18" t="inlineStr">
        <is>
          <t>https://www.tradingview.com/chart/?symbol=nyse:hsbc</t>
        </is>
      </c>
    </row>
    <row r="31">
      <c r="A31" s="18" t="n">
        <v>28</v>
      </c>
      <c r="B31" s="36" t="inlineStr">
        <is>
          <t>AMAT</t>
        </is>
      </c>
      <c r="C31" s="18" t="inlineStr">
        <is>
          <t>Applied Materials, Inc.</t>
        </is>
      </c>
      <c r="D31" s="18" t="inlineStr">
        <is>
          <t>A</t>
        </is>
      </c>
      <c r="E31" s="18" t="inlineStr">
        <is>
          <t>https://www.tradingview.com/chart/?symbol=nasdaq:amat</t>
        </is>
      </c>
    </row>
    <row r="32">
      <c r="A32" s="18" t="n">
        <v>29</v>
      </c>
      <c r="B32" s="36" t="inlineStr">
        <is>
          <t>UNH</t>
        </is>
      </c>
      <c r="C32" s="18" t="inlineStr">
        <is>
          <t>UnitedHealth Group Incorporated</t>
        </is>
      </c>
      <c r="D32" s="18" t="inlineStr">
        <is>
          <t>A</t>
        </is>
      </c>
      <c r="E32" s="18" t="inlineStr">
        <is>
          <t>https://www.tradingview.com/chart/?symbol=nyse:unh</t>
        </is>
      </c>
    </row>
    <row r="33">
      <c r="A33" s="18" t="n">
        <v>30</v>
      </c>
      <c r="B33" s="36" t="inlineStr">
        <is>
          <t>MS</t>
        </is>
      </c>
      <c r="C33" s="18" t="inlineStr">
        <is>
          <t>Morgan Stanley</t>
        </is>
      </c>
      <c r="D33" s="18" t="inlineStr">
        <is>
          <t>A</t>
        </is>
      </c>
      <c r="E33" s="18" t="inlineStr">
        <is>
          <t>https://www.tradingview.com/chart/?symbol=nyse:ms</t>
        </is>
      </c>
    </row>
    <row r="34">
      <c r="A34" s="18" t="n">
        <v>31</v>
      </c>
      <c r="B34" s="36" t="inlineStr">
        <is>
          <t>DELL</t>
        </is>
      </c>
      <c r="C34" s="18" t="inlineStr">
        <is>
          <t>Dell Technologies Inc.</t>
        </is>
      </c>
      <c r="D34" s="18" t="inlineStr">
        <is>
          <t>A</t>
        </is>
      </c>
      <c r="E34" s="18" t="inlineStr">
        <is>
          <t>https://www.tradingview.com/chart/?symbol=nyse:dell</t>
        </is>
      </c>
    </row>
    <row r="35">
      <c r="A35" s="18" t="n">
        <v>32</v>
      </c>
      <c r="B35" s="36" t="inlineStr">
        <is>
          <t>NFLX</t>
        </is>
      </c>
      <c r="C35" s="18" t="inlineStr">
        <is>
          <t>Netflix, Inc.</t>
        </is>
      </c>
      <c r="D35" s="18" t="inlineStr">
        <is>
          <t>A</t>
        </is>
      </c>
      <c r="E35" s="18" t="inlineStr">
        <is>
          <t>https://www.tradingview.com/chart/?symbol=nasdaq:nflx</t>
        </is>
      </c>
    </row>
    <row r="36">
      <c r="A36" s="18" t="n">
        <v>33</v>
      </c>
      <c r="B36" s="36" t="inlineStr">
        <is>
          <t>GS</t>
        </is>
      </c>
      <c r="C36" s="18" t="inlineStr">
        <is>
          <t>The Goldman Sachs Group, Inc.</t>
        </is>
      </c>
      <c r="D36" s="18" t="inlineStr">
        <is>
          <t>A</t>
        </is>
      </c>
      <c r="E36" s="18" t="inlineStr">
        <is>
          <t>https://www.tradingview.com/chart/?symbol=nyse:gs</t>
        </is>
      </c>
    </row>
    <row r="37">
      <c r="A37" s="18" t="n">
        <v>34</v>
      </c>
      <c r="B37" s="36" t="inlineStr">
        <is>
          <t>RTX</t>
        </is>
      </c>
      <c r="C37" s="18" t="inlineStr">
        <is>
          <t>RTX Corporation</t>
        </is>
      </c>
      <c r="D37" s="18" t="inlineStr">
        <is>
          <t>A</t>
        </is>
      </c>
      <c r="E37" s="18" t="inlineStr">
        <is>
          <t>https://www.tradingview.com/chart/?symbol=nyse:rtx</t>
        </is>
      </c>
    </row>
    <row r="38">
      <c r="A38" s="18" t="n">
        <v>35</v>
      </c>
      <c r="B38" s="36" t="inlineStr">
        <is>
          <t>ARM</t>
        </is>
      </c>
      <c r="C38" s="18" t="inlineStr">
        <is>
          <t>Arm Holdings plc</t>
        </is>
      </c>
      <c r="D38" s="18" t="inlineStr">
        <is>
          <t>A</t>
        </is>
      </c>
      <c r="E38" s="18" t="inlineStr">
        <is>
          <t>https://www.tradingview.com/chart/?symbol=nasdaq:arm</t>
        </is>
      </c>
    </row>
    <row r="39">
      <c r="A39" s="18" t="n">
        <v>36</v>
      </c>
      <c r="B39" s="36" t="inlineStr">
        <is>
          <t>GEV</t>
        </is>
      </c>
      <c r="C39" s="18" t="inlineStr">
        <is>
          <t>GE Vernova Inc.</t>
        </is>
      </c>
      <c r="D39" s="18" t="inlineStr">
        <is>
          <t>A</t>
        </is>
      </c>
      <c r="E39" s="18" t="inlineStr">
        <is>
          <t>https://www.tradingview.com/chart/?symbol=nyse:gev</t>
        </is>
      </c>
    </row>
    <row r="40">
      <c r="A40" s="18" t="n">
        <v>37</v>
      </c>
      <c r="B40" s="36" t="inlineStr">
        <is>
          <t>ANET</t>
        </is>
      </c>
      <c r="C40" s="18" t="inlineStr">
        <is>
          <t>Arista Networks, Inc.</t>
        </is>
      </c>
      <c r="D40" s="18" t="inlineStr">
        <is>
          <t>A</t>
        </is>
      </c>
      <c r="E40" s="18" t="inlineStr">
        <is>
          <t>https://www.tradingview.com/chart/?symbol=nyse:anet</t>
        </is>
      </c>
    </row>
    <row r="41">
      <c r="A41" s="18" t="n">
        <v>38</v>
      </c>
      <c r="B41" s="36" t="inlineStr">
        <is>
          <t>KLAC</t>
        </is>
      </c>
      <c r="C41" s="18" t="inlineStr">
        <is>
          <t>KLA Corporation</t>
        </is>
      </c>
      <c r="D41" s="18" t="inlineStr">
        <is>
          <t>A</t>
        </is>
      </c>
      <c r="E41" s="18" t="inlineStr">
        <is>
          <t>https://www.tradingview.com/chart/?symbol=nasdaq:klac</t>
        </is>
      </c>
    </row>
    <row r="42">
      <c r="A42" s="18" t="n">
        <v>39</v>
      </c>
      <c r="B42" s="36" t="inlineStr">
        <is>
          <t>AXP</t>
        </is>
      </c>
      <c r="C42" s="18" t="inlineStr">
        <is>
          <t>American Express Company</t>
        </is>
      </c>
      <c r="D42" s="18" t="inlineStr">
        <is>
          <t>A</t>
        </is>
      </c>
      <c r="E42" s="18" t="inlineStr">
        <is>
          <t>https://www.tradingview.com/chart/?symbol=nyse:axp</t>
        </is>
      </c>
    </row>
    <row r="43">
      <c r="A43" s="18" t="n">
        <v>40</v>
      </c>
      <c r="B43" s="36" t="inlineStr">
        <is>
          <t>CRM</t>
        </is>
      </c>
      <c r="C43" s="18" t="inlineStr">
        <is>
          <t>Salesforce, Inc.</t>
        </is>
      </c>
      <c r="D43" s="18" t="inlineStr">
        <is>
          <t>A</t>
        </is>
      </c>
      <c r="E43" s="18" t="inlineStr">
        <is>
          <t>https://www.tradingview.com/chart/?symbol=nyse:crm</t>
        </is>
      </c>
    </row>
    <row r="44">
      <c r="A44" s="18" t="n">
        <v>41</v>
      </c>
      <c r="B44" s="36" t="inlineStr">
        <is>
          <t>TD</t>
        </is>
      </c>
      <c r="C44" s="18" t="inlineStr">
        <is>
          <t>The Toronto-Dominion Bank</t>
        </is>
      </c>
      <c r="D44" s="18" t="inlineStr">
        <is>
          <t>A</t>
        </is>
      </c>
      <c r="E44" s="18" t="inlineStr">
        <is>
          <t>https://www.tradingview.com/chart/?symbol=nyse:td</t>
        </is>
      </c>
    </row>
    <row r="45">
      <c r="A45" s="18" t="n">
        <v>42</v>
      </c>
      <c r="B45" s="36" t="inlineStr">
        <is>
          <t>MRVL</t>
        </is>
      </c>
      <c r="C45" s="18" t="inlineStr">
        <is>
          <t>Marvell Technology, Inc.</t>
        </is>
      </c>
      <c r="D45" s="18" t="inlineStr">
        <is>
          <t>A</t>
        </is>
      </c>
      <c r="E45" s="18" t="inlineStr">
        <is>
          <t>https://www.tradingview.com/chart/?symbol=nasdaq:mrvl</t>
        </is>
      </c>
    </row>
    <row r="46">
      <c r="A46" s="18" t="n">
        <v>43</v>
      </c>
      <c r="B46" s="36" t="inlineStr">
        <is>
          <t>QCOM</t>
        </is>
      </c>
      <c r="C46" s="18" t="inlineStr">
        <is>
          <t>QUALCOMM Incorporated</t>
        </is>
      </c>
      <c r="D46" s="18" t="inlineStr">
        <is>
          <t>A</t>
        </is>
      </c>
      <c r="E46" s="18" t="inlineStr">
        <is>
          <t>https://www.tradingview.com/chart/?symbol=nasdaq:qcom</t>
        </is>
      </c>
    </row>
    <row r="47">
      <c r="A47" s="18" t="n">
        <v>44</v>
      </c>
      <c r="B47" s="36" t="inlineStr">
        <is>
          <t>NEE</t>
        </is>
      </c>
      <c r="C47" s="18" t="inlineStr">
        <is>
          <t>NextEra Energy, Inc.</t>
        </is>
      </c>
      <c r="D47" s="18" t="inlineStr">
        <is>
          <t>A</t>
        </is>
      </c>
      <c r="E47" s="18" t="inlineStr">
        <is>
          <t>https://www.tradingview.com/chart/?symbol=nyse:nee</t>
        </is>
      </c>
    </row>
    <row r="48">
      <c r="A48" s="18" t="n">
        <v>45</v>
      </c>
      <c r="B48" s="36" t="inlineStr">
        <is>
          <t>UNP</t>
        </is>
      </c>
      <c r="C48" s="18" t="inlineStr">
        <is>
          <t>Union Pacific Corporation</t>
        </is>
      </c>
      <c r="D48" s="18" t="inlineStr">
        <is>
          <t>A</t>
        </is>
      </c>
      <c r="E48" s="18" t="inlineStr">
        <is>
          <t>https://www.tradingview.com/chart/?symbol=nyse:unp</t>
        </is>
      </c>
    </row>
    <row r="49">
      <c r="A49" s="18" t="n">
        <v>46</v>
      </c>
      <c r="B49" s="36" t="inlineStr">
        <is>
          <t>WDC</t>
        </is>
      </c>
      <c r="C49" s="18" t="inlineStr">
        <is>
          <t>Western Digital Corporation</t>
        </is>
      </c>
      <c r="D49" s="18" t="inlineStr">
        <is>
          <t>A</t>
        </is>
      </c>
      <c r="E49" s="18" t="inlineStr">
        <is>
          <t>https://www.tradingview.com/chart/?symbol=nasdaq:wdc</t>
        </is>
      </c>
    </row>
    <row r="50">
      <c r="A50" s="18" t="n">
        <v>47</v>
      </c>
      <c r="B50" s="36" t="inlineStr">
        <is>
          <t>ETN</t>
        </is>
      </c>
      <c r="C50" s="18" t="inlineStr">
        <is>
          <t>Eaton Corporation plc</t>
        </is>
      </c>
      <c r="D50" s="18" t="inlineStr">
        <is>
          <t>A</t>
        </is>
      </c>
      <c r="E50" s="18" t="inlineStr">
        <is>
          <t>https://www.tradingview.com/chart/?symbol=nyse:etn</t>
        </is>
      </c>
    </row>
    <row r="51">
      <c r="A51" s="18" t="n">
        <v>48</v>
      </c>
      <c r="B51" s="36" t="inlineStr">
        <is>
          <t>NOW</t>
        </is>
      </c>
      <c r="C51" s="18" t="inlineStr">
        <is>
          <t>ServiceNow, Inc.</t>
        </is>
      </c>
      <c r="D51" s="18" t="inlineStr">
        <is>
          <t>A</t>
        </is>
      </c>
      <c r="E51" s="18" t="inlineStr">
        <is>
          <t>https://www.tradingview.com/chart/?symbol=nyse:now</t>
        </is>
      </c>
    </row>
    <row r="52">
      <c r="A52" s="18" t="n">
        <v>49</v>
      </c>
      <c r="B52" s="36" t="inlineStr">
        <is>
          <t>TJX</t>
        </is>
      </c>
      <c r="C52" s="18" t="inlineStr">
        <is>
          <t>The TJX Companies, Inc.</t>
        </is>
      </c>
      <c r="D52" s="18" t="inlineStr">
        <is>
          <t>A</t>
        </is>
      </c>
      <c r="E52" s="18" t="inlineStr">
        <is>
          <t>https://www.tradingview.com/chart/?symbol=nyse:tjx</t>
        </is>
      </c>
    </row>
    <row r="53">
      <c r="A53" s="18" t="n">
        <v>50</v>
      </c>
      <c r="B53" s="36" t="inlineStr">
        <is>
          <t>VRTX</t>
        </is>
      </c>
      <c r="C53" s="18" t="inlineStr">
        <is>
          <t>Vertex Pharmaceuticals Incorporated</t>
        </is>
      </c>
      <c r="D53" s="18" t="inlineStr">
        <is>
          <t>A</t>
        </is>
      </c>
      <c r="E53" s="18" t="inlineStr">
        <is>
          <t>https://www.tradingview.com/chart/?symbol=nasdaq:vrtx</t>
        </is>
      </c>
    </row>
    <row r="54">
      <c r="A54" s="18" t="n">
        <v>51</v>
      </c>
      <c r="B54" s="36" t="inlineStr">
        <is>
          <t>NEM</t>
        </is>
      </c>
      <c r="C54" s="18" t="inlineStr">
        <is>
          <t>Newmont Corporation</t>
        </is>
      </c>
      <c r="D54" s="18" t="inlineStr">
        <is>
          <t>A</t>
        </is>
      </c>
      <c r="E54" s="18" t="inlineStr">
        <is>
          <t>https://www.tradingview.com/chart/?symbol=nyse:nem</t>
        </is>
      </c>
    </row>
    <row r="55">
      <c r="A55" s="18" t="n">
        <v>52</v>
      </c>
      <c r="B55" s="36" t="inlineStr">
        <is>
          <t>GLW</t>
        </is>
      </c>
      <c r="C55" s="18" t="inlineStr">
        <is>
          <t>Corning Incorporated</t>
        </is>
      </c>
      <c r="D55" s="18" t="inlineStr">
        <is>
          <t>A</t>
        </is>
      </c>
      <c r="E55" s="18" t="inlineStr">
        <is>
          <t>https://www.tradingview.com/chart/?symbol=nyse:glw</t>
        </is>
      </c>
    </row>
    <row r="56">
      <c r="A56" s="18" t="n">
        <v>53</v>
      </c>
      <c r="B56" s="36" t="inlineStr">
        <is>
          <t>PBR</t>
        </is>
      </c>
      <c r="C56" s="18" t="inlineStr">
        <is>
          <t>Petróleo Brasileiro S.A. - Petrobras</t>
        </is>
      </c>
      <c r="D56" s="18" t="inlineStr">
        <is>
          <t>A</t>
        </is>
      </c>
      <c r="E56" s="18" t="inlineStr">
        <is>
          <t>https://www.tradingview.com/chart/?symbol=nyse:pbr</t>
        </is>
      </c>
    </row>
    <row r="57">
      <c r="A57" s="18" t="n">
        <v>54</v>
      </c>
      <c r="B57" s="36" t="inlineStr">
        <is>
          <t>ISRG</t>
        </is>
      </c>
      <c r="C57" s="18" t="inlineStr">
        <is>
          <t>Intuitive Surgical, Inc.</t>
        </is>
      </c>
      <c r="D57" s="18" t="inlineStr">
        <is>
          <t>A</t>
        </is>
      </c>
      <c r="E57" s="18" t="inlineStr">
        <is>
          <t>https://www.tradingview.com/chart/?symbol=nasdaq:isrg</t>
        </is>
      </c>
    </row>
    <row r="58">
      <c r="A58" s="18" t="n">
        <v>55</v>
      </c>
      <c r="B58" s="36" t="inlineStr">
        <is>
          <t>LMT</t>
        </is>
      </c>
      <c r="C58" s="18" t="inlineStr">
        <is>
          <t>Lockheed Martin Corporation</t>
        </is>
      </c>
      <c r="D58" s="18" t="inlineStr">
        <is>
          <t>A</t>
        </is>
      </c>
      <c r="E58" s="18" t="inlineStr">
        <is>
          <t>https://www.tradingview.com/chart/?symbol=nyse:lmt</t>
        </is>
      </c>
    </row>
    <row r="59">
      <c r="A59" s="18" t="n">
        <v>56</v>
      </c>
      <c r="B59" s="36" t="inlineStr">
        <is>
          <t>SBUX</t>
        </is>
      </c>
      <c r="C59" s="18" t="inlineStr">
        <is>
          <t>Starbucks Corporation</t>
        </is>
      </c>
      <c r="D59" s="18" t="inlineStr">
        <is>
          <t>A</t>
        </is>
      </c>
      <c r="E59" s="18" t="inlineStr">
        <is>
          <t>https://www.tradingview.com/chart/?symbol=nasdaq:sbux</t>
        </is>
      </c>
    </row>
    <row r="60">
      <c r="A60" s="18" t="n">
        <v>57</v>
      </c>
      <c r="B60" s="36" t="inlineStr">
        <is>
          <t>BNS</t>
        </is>
      </c>
      <c r="C60" s="18" t="inlineStr">
        <is>
          <t>The Bank of Nova Scotia</t>
        </is>
      </c>
      <c r="D60" s="18" t="inlineStr">
        <is>
          <t>A</t>
        </is>
      </c>
      <c r="E60" s="18" t="inlineStr">
        <is>
          <t>https://www.tradingview.com/chart/?symbol=nyse:bns</t>
        </is>
      </c>
    </row>
    <row r="61">
      <c r="A61" s="18" t="n">
        <v>58</v>
      </c>
      <c r="B61" s="36" t="inlineStr">
        <is>
          <t>FTNT</t>
        </is>
      </c>
      <c r="C61" s="18" t="inlineStr">
        <is>
          <t>Fortinet, Inc.</t>
        </is>
      </c>
      <c r="D61" s="18" t="inlineStr">
        <is>
          <t>A</t>
        </is>
      </c>
      <c r="E61" s="18" t="inlineStr">
        <is>
          <t>https://www.tradingview.com/chart/?symbol=nasdaq:ftnt</t>
        </is>
      </c>
    </row>
    <row r="62">
      <c r="A62" s="18" t="n">
        <v>59</v>
      </c>
      <c r="B62" s="36" t="inlineStr">
        <is>
          <t>BNY</t>
        </is>
      </c>
      <c r="C62" s="18" t="inlineStr">
        <is>
          <t>The Bank of New York Mellon Corporation</t>
        </is>
      </c>
      <c r="D62" s="18" t="inlineStr">
        <is>
          <t>A</t>
        </is>
      </c>
      <c r="E62" s="18" t="inlineStr">
        <is>
          <t>https://www.tradingview.com/chart/?symbol=nyse:bny</t>
        </is>
      </c>
    </row>
    <row r="63">
      <c r="A63" s="18" t="n">
        <v>60</v>
      </c>
      <c r="B63" s="36" t="inlineStr">
        <is>
          <t>SPOT</t>
        </is>
      </c>
      <c r="C63" s="18" t="inlineStr">
        <is>
          <t>Spotify Technology S.A.</t>
        </is>
      </c>
      <c r="D63" s="18" t="inlineStr">
        <is>
          <t>A</t>
        </is>
      </c>
      <c r="E63" s="18" t="inlineStr">
        <is>
          <t>https://www.tradingview.com/chart/?symbol=nyse:spot</t>
        </is>
      </c>
    </row>
    <row r="64">
      <c r="A64" s="18" t="n">
        <v>61</v>
      </c>
      <c r="B64" s="36" t="inlineStr">
        <is>
          <t>HOOD</t>
        </is>
      </c>
      <c r="C64" s="18" t="inlineStr">
        <is>
          <t>Robinhood Markets, Inc.</t>
        </is>
      </c>
      <c r="D64" s="18" t="inlineStr">
        <is>
          <t>A</t>
        </is>
      </c>
      <c r="E64" s="18" t="inlineStr">
        <is>
          <t>https://www.tradingview.com/chart/?symbol=nasdaq:hood</t>
        </is>
      </c>
    </row>
    <row r="65">
      <c r="A65" s="18" t="n">
        <v>62</v>
      </c>
      <c r="B65" s="36" t="inlineStr">
        <is>
          <t>VRT</t>
        </is>
      </c>
      <c r="C65" s="18" t="inlineStr">
        <is>
          <t>Vertiv Holdings Co</t>
        </is>
      </c>
      <c r="D65" s="18" t="inlineStr">
        <is>
          <t>A</t>
        </is>
      </c>
      <c r="E65" s="18" t="inlineStr">
        <is>
          <t>https://www.tradingview.com/chart/?symbol=nyse:vrt</t>
        </is>
      </c>
    </row>
    <row r="66">
      <c r="A66" s="18" t="n">
        <v>63</v>
      </c>
      <c r="B66" s="36" t="inlineStr">
        <is>
          <t>APP</t>
        </is>
      </c>
      <c r="C66" s="18" t="inlineStr">
        <is>
          <t>AppLovin Corporation</t>
        </is>
      </c>
      <c r="D66" s="18" t="inlineStr">
        <is>
          <t>A</t>
        </is>
      </c>
      <c r="E66" s="18" t="inlineStr">
        <is>
          <t>https://www.tradingview.com/chart/?symbol=nasdaq:app</t>
        </is>
      </c>
    </row>
    <row r="67">
      <c r="A67" s="18" t="n">
        <v>64</v>
      </c>
      <c r="B67" s="36" t="inlineStr">
        <is>
          <t>CM</t>
        </is>
      </c>
      <c r="C67" s="18" t="inlineStr">
        <is>
          <t>Canadian Imperial Bank of Commerce</t>
        </is>
      </c>
      <c r="D67" s="18" t="inlineStr">
        <is>
          <t>A</t>
        </is>
      </c>
      <c r="E67" s="18" t="inlineStr">
        <is>
          <t>https://www.tradingview.com/chart/?symbol=nyse:cm</t>
        </is>
      </c>
    </row>
    <row r="68">
      <c r="A68" s="18" t="n">
        <v>65</v>
      </c>
      <c r="B68" s="36" t="inlineStr">
        <is>
          <t>EQNR</t>
        </is>
      </c>
      <c r="C68" s="18" t="inlineStr">
        <is>
          <t>Equinor ASA</t>
        </is>
      </c>
      <c r="D68" s="18" t="inlineStr">
        <is>
          <t>A</t>
        </is>
      </c>
      <c r="E68" s="18" t="inlineStr">
        <is>
          <t>https://www.tradingview.com/chart/?symbol=nyse:eqnr</t>
        </is>
      </c>
    </row>
    <row r="69">
      <c r="A69" s="18" t="n">
        <v>66</v>
      </c>
      <c r="B69" s="36" t="inlineStr">
        <is>
          <t>FCX</t>
        </is>
      </c>
      <c r="C69" s="18" t="inlineStr">
        <is>
          <t>Freeport-McMoRan Inc.</t>
        </is>
      </c>
      <c r="D69" s="18" t="inlineStr">
        <is>
          <t>A</t>
        </is>
      </c>
      <c r="E69" s="18" t="inlineStr">
        <is>
          <t>https://www.tradingview.com/chart/?symbol=nyse:fcx</t>
        </is>
      </c>
    </row>
    <row r="70">
      <c r="A70" s="18" t="n">
        <v>67</v>
      </c>
      <c r="B70" s="36" t="inlineStr">
        <is>
          <t>CNQ</t>
        </is>
      </c>
      <c r="C70" s="18" t="inlineStr">
        <is>
          <t>Canadian Natural Resources Limited</t>
        </is>
      </c>
      <c r="D70" s="18" t="inlineStr">
        <is>
          <t>A</t>
        </is>
      </c>
      <c r="E70" s="18" t="inlineStr">
        <is>
          <t>https://www.tradingview.com/chart/?symbol=nyse:cnq</t>
        </is>
      </c>
    </row>
    <row r="71">
      <c r="A71" s="18" t="n">
        <v>68</v>
      </c>
      <c r="B71" s="36" t="inlineStr">
        <is>
          <t>BX</t>
        </is>
      </c>
      <c r="C71" s="18" t="inlineStr">
        <is>
          <t>Blackstone Inc.</t>
        </is>
      </c>
      <c r="D71" s="18" t="inlineStr">
        <is>
          <t>A</t>
        </is>
      </c>
      <c r="E71" s="18" t="inlineStr">
        <is>
          <t>https://www.tradingview.com/chart/?symbol=nyse:bx</t>
        </is>
      </c>
    </row>
    <row r="72">
      <c r="A72" s="18" t="n">
        <v>69</v>
      </c>
      <c r="B72" s="36" t="inlineStr">
        <is>
          <t>CME</t>
        </is>
      </c>
      <c r="C72" s="18" t="inlineStr">
        <is>
          <t>CME Group Inc.</t>
        </is>
      </c>
      <c r="D72" s="18" t="inlineStr">
        <is>
          <t>A</t>
        </is>
      </c>
      <c r="E72" s="18" t="inlineStr">
        <is>
          <t>https://www.tradingview.com/chart/?symbol=nasdaq:cme</t>
        </is>
      </c>
    </row>
    <row r="73">
      <c r="A73" s="18" t="n">
        <v>70</v>
      </c>
      <c r="B73" s="36" t="inlineStr">
        <is>
          <t>PNC</t>
        </is>
      </c>
      <c r="C73" s="18" t="inlineStr">
        <is>
          <t>The PNC Financial Services Group, Inc.</t>
        </is>
      </c>
      <c r="D73" s="18" t="inlineStr">
        <is>
          <t>A</t>
        </is>
      </c>
      <c r="E73" s="18" t="inlineStr">
        <is>
          <t>https://www.tradingview.com/chart/?symbol=nyse:pnc</t>
        </is>
      </c>
    </row>
    <row r="74">
      <c r="A74" s="18" t="n">
        <v>71</v>
      </c>
      <c r="B74" s="36" t="inlineStr">
        <is>
          <t>GD</t>
        </is>
      </c>
      <c r="C74" s="18" t="inlineStr">
        <is>
          <t>General Dynamics Corporation</t>
        </is>
      </c>
      <c r="D74" s="18" t="inlineStr">
        <is>
          <t>A</t>
        </is>
      </c>
      <c r="E74" s="18" t="inlineStr">
        <is>
          <t>https://www.tradingview.com/chart/?symbol=nyse:gd</t>
        </is>
      </c>
    </row>
    <row r="75">
      <c r="A75" s="18" t="n">
        <v>72</v>
      </c>
      <c r="B75" s="36" t="inlineStr">
        <is>
          <t>KKR</t>
        </is>
      </c>
      <c r="C75" s="18" t="inlineStr">
        <is>
          <t>KKR &amp; Co. Inc.</t>
        </is>
      </c>
      <c r="D75" s="18" t="inlineStr">
        <is>
          <t>A</t>
        </is>
      </c>
      <c r="E75" s="18" t="inlineStr">
        <is>
          <t>https://www.tradingview.com/chart/?symbol=nyse:kkr</t>
        </is>
      </c>
    </row>
    <row r="76">
      <c r="A76" s="18" t="n">
        <v>73</v>
      </c>
      <c r="B76" s="36" t="inlineStr">
        <is>
          <t>PWR</t>
        </is>
      </c>
      <c r="C76" s="18" t="inlineStr">
        <is>
          <t>Quanta Services, Inc.</t>
        </is>
      </c>
      <c r="D76" s="18" t="inlineStr">
        <is>
          <t>A</t>
        </is>
      </c>
      <c r="E76" s="18" t="inlineStr">
        <is>
          <t>https://www.tradingview.com/chart/?symbol=nyse:pwr</t>
        </is>
      </c>
    </row>
    <row r="77">
      <c r="A77" s="18" t="n">
        <v>74</v>
      </c>
      <c r="B77" s="36" t="inlineStr">
        <is>
          <t>DASH</t>
        </is>
      </c>
      <c r="C77" s="18" t="inlineStr">
        <is>
          <t>DoorDash, Inc.</t>
        </is>
      </c>
      <c r="D77" s="18" t="inlineStr">
        <is>
          <t>A</t>
        </is>
      </c>
      <c r="E77" s="18" t="inlineStr">
        <is>
          <t>https://www.tradingview.com/chart/?symbol=nasdaq:dash</t>
        </is>
      </c>
    </row>
    <row r="78">
      <c r="A78" s="18" t="n">
        <v>75</v>
      </c>
      <c r="B78" s="36" t="inlineStr">
        <is>
          <t>CSX</t>
        </is>
      </c>
      <c r="C78" s="18" t="inlineStr">
        <is>
          <t>CSX Corporation</t>
        </is>
      </c>
      <c r="D78" s="18" t="inlineStr">
        <is>
          <t>A</t>
        </is>
      </c>
      <c r="E78" s="18" t="inlineStr">
        <is>
          <t>https://www.tradingview.com/chart/?symbol=nasdaq:csx</t>
        </is>
      </c>
    </row>
    <row r="79">
      <c r="A79" s="18" t="n">
        <v>76</v>
      </c>
      <c r="B79" s="36" t="inlineStr">
        <is>
          <t>ICE</t>
        </is>
      </c>
      <c r="C79" s="18" t="inlineStr">
        <is>
          <t>Intercontinental Exchange, Inc.</t>
        </is>
      </c>
      <c r="D79" s="18" t="inlineStr">
        <is>
          <t>A</t>
        </is>
      </c>
      <c r="E79" s="18" t="inlineStr">
        <is>
          <t>https://www.tradingview.com/chart/?symbol=nyse:ice</t>
        </is>
      </c>
    </row>
    <row r="80">
      <c r="A80" s="18" t="n">
        <v>77</v>
      </c>
      <c r="B80" s="36" t="inlineStr">
        <is>
          <t>MAR</t>
        </is>
      </c>
      <c r="C80" s="18" t="inlineStr">
        <is>
          <t>Marriott International, Inc.</t>
        </is>
      </c>
      <c r="D80" s="18" t="inlineStr">
        <is>
          <t>A</t>
        </is>
      </c>
      <c r="E80" s="18" t="inlineStr">
        <is>
          <t>https://www.tradingview.com/chart/?symbol=nasdaq:mar</t>
        </is>
      </c>
    </row>
    <row r="81">
      <c r="A81" s="18" t="n">
        <v>78</v>
      </c>
      <c r="B81" s="36" t="inlineStr">
        <is>
          <t>REGN</t>
        </is>
      </c>
      <c r="C81" s="18" t="inlineStr">
        <is>
          <t>Regeneron Pharmaceuticals, Inc.</t>
        </is>
      </c>
      <c r="D81" s="18" t="inlineStr">
        <is>
          <t>A</t>
        </is>
      </c>
      <c r="E81" s="18" t="inlineStr">
        <is>
          <t>https://www.tradingview.com/chart/?symbol=nasdaq:regn</t>
        </is>
      </c>
    </row>
    <row r="82">
      <c r="A82" s="18" t="n">
        <v>79</v>
      </c>
      <c r="B82" s="36" t="inlineStr">
        <is>
          <t>CDNS</t>
        </is>
      </c>
      <c r="C82" s="18" t="inlineStr">
        <is>
          <t>Cadence Design Systems, Inc.</t>
        </is>
      </c>
      <c r="D82" s="18" t="inlineStr">
        <is>
          <t>A</t>
        </is>
      </c>
      <c r="E82" s="18" t="inlineStr">
        <is>
          <t>https://www.tradingview.com/chart/?symbol=nasdaq:cdns</t>
        </is>
      </c>
    </row>
    <row r="83">
      <c r="A83" s="18" t="n">
        <v>80</v>
      </c>
      <c r="B83" s="36" t="inlineStr">
        <is>
          <t>SU</t>
        </is>
      </c>
      <c r="C83" s="18" t="inlineStr">
        <is>
          <t>Suncor Energy Inc.</t>
        </is>
      </c>
      <c r="D83" s="18" t="inlineStr">
        <is>
          <t>A</t>
        </is>
      </c>
      <c r="E83" s="18" t="inlineStr">
        <is>
          <t>https://www.tradingview.com/chart/?symbol=nyse:su</t>
        </is>
      </c>
    </row>
    <row r="84">
      <c r="A84" s="18" t="n">
        <v>81</v>
      </c>
      <c r="B84" s="36" t="inlineStr">
        <is>
          <t>EOG</t>
        </is>
      </c>
      <c r="C84" s="18" t="inlineStr">
        <is>
          <t>EOG Resources, Inc.</t>
        </is>
      </c>
      <c r="D84" s="18" t="inlineStr">
        <is>
          <t>A</t>
        </is>
      </c>
      <c r="E84" s="18" t="inlineStr">
        <is>
          <t>https://www.tradingview.com/chart/?symbol=nyse:eog</t>
        </is>
      </c>
    </row>
    <row r="85">
      <c r="A85" s="18" t="n">
        <v>82</v>
      </c>
      <c r="B85" s="36" t="inlineStr">
        <is>
          <t>SNPS</t>
        </is>
      </c>
      <c r="C85" s="18" t="inlineStr">
        <is>
          <t>Synopsys, Inc.</t>
        </is>
      </c>
      <c r="D85" s="18" t="inlineStr">
        <is>
          <t>A</t>
        </is>
      </c>
      <c r="E85" s="18" t="inlineStr">
        <is>
          <t>https://www.tradingview.com/chart/?symbol=nasdaq:snps</t>
        </is>
      </c>
    </row>
    <row r="86">
      <c r="A86" s="18" t="n">
        <v>83</v>
      </c>
      <c r="B86" s="36" t="inlineStr">
        <is>
          <t>TGT</t>
        </is>
      </c>
      <c r="C86" s="18" t="inlineStr">
        <is>
          <t>Target Corporation</t>
        </is>
      </c>
      <c r="D86" s="18" t="inlineStr">
        <is>
          <t>A</t>
        </is>
      </c>
      <c r="E86" s="18" t="inlineStr">
        <is>
          <t>https://www.tradingview.com/chart/?symbol=nyse:tgt</t>
        </is>
      </c>
    </row>
    <row r="87">
      <c r="A87" s="18" t="n">
        <v>84</v>
      </c>
      <c r="B87" s="36" t="inlineStr">
        <is>
          <t>CNI</t>
        </is>
      </c>
      <c r="C87" s="18" t="inlineStr">
        <is>
          <t>Canadian National Railway Company</t>
        </is>
      </c>
      <c r="D87" s="18" t="inlineStr">
        <is>
          <t>A</t>
        </is>
      </c>
      <c r="E87" s="18" t="inlineStr">
        <is>
          <t>https://www.tradingview.com/chart/?symbol=nyse:cni</t>
        </is>
      </c>
    </row>
    <row r="88">
      <c r="A88" s="18" t="n">
        <v>85</v>
      </c>
      <c r="B88" s="36" t="inlineStr">
        <is>
          <t>BE</t>
        </is>
      </c>
      <c r="C88" s="18" t="inlineStr">
        <is>
          <t>Bloom Energy Corporation</t>
        </is>
      </c>
      <c r="D88" s="18" t="inlineStr">
        <is>
          <t>A</t>
        </is>
      </c>
      <c r="E88" s="18" t="inlineStr">
        <is>
          <t>https://www.tradingview.com/chart/?symbol=nyse:be</t>
        </is>
      </c>
    </row>
    <row r="89">
      <c r="A89" s="18" t="n">
        <v>86</v>
      </c>
      <c r="B89" s="36" t="inlineStr">
        <is>
          <t>NSC</t>
        </is>
      </c>
      <c r="C89" s="18" t="inlineStr">
        <is>
          <t>Norfolk Southern Corporation</t>
        </is>
      </c>
      <c r="D89" s="18" t="inlineStr">
        <is>
          <t>A</t>
        </is>
      </c>
      <c r="E89" s="18" t="inlineStr">
        <is>
          <t>https://www.tradingview.com/chart/?symbol=nyse:nsc</t>
        </is>
      </c>
    </row>
    <row r="90">
      <c r="A90" s="18" t="n">
        <v>87</v>
      </c>
      <c r="B90" s="36" t="inlineStr">
        <is>
          <t>ROST</t>
        </is>
      </c>
      <c r="C90" s="18" t="inlineStr">
        <is>
          <t>Ross Stores, Inc.</t>
        </is>
      </c>
      <c r="D90" s="18" t="inlineStr">
        <is>
          <t>A</t>
        </is>
      </c>
      <c r="E90" s="18" t="inlineStr">
        <is>
          <t>https://www.tradingview.com/chart/?symbol=nasdaq:rost</t>
        </is>
      </c>
    </row>
    <row r="91">
      <c r="A91" s="18" t="n">
        <v>88</v>
      </c>
      <c r="B91" s="36" t="inlineStr">
        <is>
          <t>HLT</t>
        </is>
      </c>
      <c r="C91" s="18" t="inlineStr">
        <is>
          <t>Hilton Worldwide Holdings Inc.</t>
        </is>
      </c>
      <c r="D91" s="18" t="inlineStr">
        <is>
          <t>A</t>
        </is>
      </c>
      <c r="E91" s="18" t="inlineStr">
        <is>
          <t>https://www.tradingview.com/chart/?symbol=nyse:hlt</t>
        </is>
      </c>
    </row>
    <row r="92">
      <c r="A92" s="18" t="n">
        <v>89</v>
      </c>
      <c r="B92" s="36" t="inlineStr">
        <is>
          <t>HPE</t>
        </is>
      </c>
      <c r="C92" s="18" t="inlineStr">
        <is>
          <t>Hewlett Packard Enterprise Company</t>
        </is>
      </c>
      <c r="D92" s="18" t="inlineStr">
        <is>
          <t>A</t>
        </is>
      </c>
      <c r="E92" s="18" t="inlineStr">
        <is>
          <t>https://www.tradingview.com/chart/?symbol=nyse:hpe</t>
        </is>
      </c>
    </row>
    <row r="93">
      <c r="A93" s="18" t="n">
        <v>90</v>
      </c>
      <c r="B93" s="36" t="inlineStr">
        <is>
          <t>PCAR</t>
        </is>
      </c>
      <c r="C93" s="18" t="inlineStr">
        <is>
          <t>PACCAR Inc</t>
        </is>
      </c>
      <c r="D93" s="18" t="inlineStr">
        <is>
          <t>A</t>
        </is>
      </c>
      <c r="E93" s="18" t="inlineStr">
        <is>
          <t>https://www.tradingview.com/chart/?symbol=nasdaq:pcar</t>
        </is>
      </c>
    </row>
    <row r="94">
      <c r="A94" s="18" t="n">
        <v>91</v>
      </c>
      <c r="B94" s="36" t="inlineStr">
        <is>
          <t>GWW</t>
        </is>
      </c>
      <c r="C94" s="18" t="inlineStr">
        <is>
          <t>W.W. Grainger, Inc.</t>
        </is>
      </c>
      <c r="D94" s="18" t="inlineStr">
        <is>
          <t>A</t>
        </is>
      </c>
      <c r="E94" s="18" t="inlineStr">
        <is>
          <t>https://www.tradingview.com/chart/?symbol=nyse:gww</t>
        </is>
      </c>
    </row>
    <row r="95">
      <c r="A95" s="18" t="n">
        <v>92</v>
      </c>
      <c r="B95" s="36" t="inlineStr">
        <is>
          <t>IMO</t>
        </is>
      </c>
      <c r="C95" s="18" t="inlineStr">
        <is>
          <t>Imperial Oil Limited</t>
        </is>
      </c>
      <c r="D95" s="18" t="inlineStr">
        <is>
          <t>A</t>
        </is>
      </c>
      <c r="E95" s="18" t="inlineStr">
        <is>
          <t>https://www.tradingview.com/chart/?symbol=amex:imo</t>
        </is>
      </c>
    </row>
    <row r="96">
      <c r="A96" s="18" t="n">
        <v>93</v>
      </c>
      <c r="B96" s="36" t="inlineStr">
        <is>
          <t>TRGP</t>
        </is>
      </c>
      <c r="C96" s="18" t="inlineStr">
        <is>
          <t>Targa Resources Corp.</t>
        </is>
      </c>
      <c r="D96" s="18" t="inlineStr">
        <is>
          <t>A</t>
        </is>
      </c>
      <c r="E96" s="18" t="inlineStr">
        <is>
          <t>https://www.tradingview.com/chart/?symbol=nyse:trgp</t>
        </is>
      </c>
    </row>
    <row r="97">
      <c r="A97" s="18" t="n">
        <v>94</v>
      </c>
      <c r="B97" s="36" t="inlineStr">
        <is>
          <t>MET</t>
        </is>
      </c>
      <c r="C97" s="18" t="inlineStr">
        <is>
          <t>MetLife, Inc.</t>
        </is>
      </c>
      <c r="D97" s="18" t="inlineStr">
        <is>
          <t>A</t>
        </is>
      </c>
      <c r="E97" s="18" t="inlineStr">
        <is>
          <t>https://www.tradingview.com/chart/?symbol=nyse:met</t>
        </is>
      </c>
    </row>
    <row r="98">
      <c r="A98" s="18" t="n">
        <v>95</v>
      </c>
      <c r="B98" s="36" t="inlineStr">
        <is>
          <t>CVE</t>
        </is>
      </c>
      <c r="C98" s="18" t="inlineStr">
        <is>
          <t>Cenovus Energy Inc.</t>
        </is>
      </c>
      <c r="D98" s="18" t="inlineStr">
        <is>
          <t>A</t>
        </is>
      </c>
      <c r="E98" s="18" t="inlineStr">
        <is>
          <t>https://www.tradingview.com/chart/?symbol=nyse:cve</t>
        </is>
      </c>
    </row>
    <row r="99">
      <c r="A99" s="18" t="n">
        <v>96</v>
      </c>
      <c r="B99" s="36" t="inlineStr">
        <is>
          <t>MPWR</t>
        </is>
      </c>
      <c r="C99" s="18" t="inlineStr">
        <is>
          <t>Monolithic Power Systems, Inc.</t>
        </is>
      </c>
      <c r="D99" s="18" t="inlineStr">
        <is>
          <t>A</t>
        </is>
      </c>
      <c r="E99" s="18" t="inlineStr">
        <is>
          <t>https://www.tradingview.com/chart/?symbol=nasdaq:mpwr</t>
        </is>
      </c>
    </row>
    <row r="100">
      <c r="A100" s="18" t="n">
        <v>97</v>
      </c>
      <c r="B100" s="36" t="inlineStr">
        <is>
          <t>OXY</t>
        </is>
      </c>
      <c r="C100" s="18" t="inlineStr">
        <is>
          <t>Occidental Petroleum Corporation</t>
        </is>
      </c>
      <c r="D100" s="18" t="inlineStr">
        <is>
          <t>A</t>
        </is>
      </c>
      <c r="E100" s="18" t="inlineStr">
        <is>
          <t>https://www.tradingview.com/chart/?symbol=nyse:oxy</t>
        </is>
      </c>
    </row>
    <row r="101">
      <c r="A101" s="18" t="n">
        <v>98</v>
      </c>
      <c r="B101" s="36" t="inlineStr">
        <is>
          <t>CAH</t>
        </is>
      </c>
      <c r="C101" s="18" t="inlineStr">
        <is>
          <t>Cardinal Health, Inc.</t>
        </is>
      </c>
      <c r="D101" s="18" t="inlineStr">
        <is>
          <t>A</t>
        </is>
      </c>
      <c r="E101" s="18" t="inlineStr">
        <is>
          <t>https://www.tradingview.com/chart/?symbol=nyse:cah</t>
        </is>
      </c>
    </row>
    <row r="102">
      <c r="A102" s="18" t="n">
        <v>99</v>
      </c>
      <c r="B102" s="36" t="inlineStr">
        <is>
          <t>NKE</t>
        </is>
      </c>
      <c r="C102" s="18" t="inlineStr">
        <is>
          <t>NIKE, Inc.</t>
        </is>
      </c>
      <c r="D102" s="18" t="inlineStr">
        <is>
          <t>A</t>
        </is>
      </c>
      <c r="E102" s="18" t="inlineStr">
        <is>
          <t>https://www.tradingview.com/chart/?symbol=nyse:nke</t>
        </is>
      </c>
    </row>
    <row r="103">
      <c r="A103" s="18" t="n">
        <v>100</v>
      </c>
      <c r="B103" s="36" t="inlineStr">
        <is>
          <t>TER</t>
        </is>
      </c>
      <c r="C103" s="18" t="inlineStr">
        <is>
          <t>Teradyne, Inc.</t>
        </is>
      </c>
      <c r="D103" s="18" t="inlineStr">
        <is>
          <t>A</t>
        </is>
      </c>
      <c r="E103" s="18" t="inlineStr">
        <is>
          <t>https://www.tradingview.com/chart/?symbol=nasdaq:ter</t>
        </is>
      </c>
    </row>
    <row r="104">
      <c r="A104" s="18" t="n">
        <v>101</v>
      </c>
      <c r="B104" s="36" t="inlineStr">
        <is>
          <t>FANG</t>
        </is>
      </c>
      <c r="C104" s="18" t="inlineStr">
        <is>
          <t>Diamondback Energy, Inc.</t>
        </is>
      </c>
      <c r="D104" s="18" t="inlineStr">
        <is>
          <t>A</t>
        </is>
      </c>
      <c r="E104" s="18" t="inlineStr">
        <is>
          <t>https://www.tradingview.com/chart/?symbol=nasdaq:fang</t>
        </is>
      </c>
    </row>
    <row r="105">
      <c r="A105" s="18" t="n">
        <v>102</v>
      </c>
      <c r="B105" s="36" t="inlineStr">
        <is>
          <t>COHR</t>
        </is>
      </c>
      <c r="C105" s="18" t="inlineStr">
        <is>
          <t>Coherent Corp.</t>
        </is>
      </c>
      <c r="D105" s="18" t="inlineStr">
        <is>
          <t>A</t>
        </is>
      </c>
      <c r="E105" s="18" t="inlineStr">
        <is>
          <t>https://www.tradingview.com/chart/?symbol=nyse:cohr</t>
        </is>
      </c>
    </row>
    <row r="106">
      <c r="A106" s="18" t="n">
        <v>103</v>
      </c>
      <c r="B106" s="36" t="inlineStr">
        <is>
          <t>ALAB</t>
        </is>
      </c>
      <c r="C106" s="18" t="inlineStr">
        <is>
          <t>Astera Labs, Inc.</t>
        </is>
      </c>
      <c r="D106" s="18" t="inlineStr">
        <is>
          <t>A</t>
        </is>
      </c>
      <c r="E106" s="18" t="inlineStr">
        <is>
          <t>https://www.tradingview.com/chart/?symbol=nasdaq:alab</t>
        </is>
      </c>
    </row>
    <row r="107">
      <c r="A107" s="18" t="n">
        <v>104</v>
      </c>
      <c r="B107" s="36" t="inlineStr">
        <is>
          <t>STT</t>
        </is>
      </c>
      <c r="C107" s="18" t="inlineStr">
        <is>
          <t>State Street Corporation</t>
        </is>
      </c>
      <c r="D107" s="18" t="inlineStr">
        <is>
          <t>A</t>
        </is>
      </c>
      <c r="E107" s="18" t="inlineStr">
        <is>
          <t>https://www.tradingview.com/chart/?symbol=nyse:stt</t>
        </is>
      </c>
    </row>
    <row r="108">
      <c r="A108" s="18" t="n">
        <v>105</v>
      </c>
      <c r="B108" s="36" t="inlineStr">
        <is>
          <t>VST</t>
        </is>
      </c>
      <c r="C108" s="18" t="inlineStr">
        <is>
          <t>Vistra Corp.</t>
        </is>
      </c>
      <c r="D108" s="18" t="inlineStr">
        <is>
          <t>A</t>
        </is>
      </c>
      <c r="E108" s="18" t="inlineStr">
        <is>
          <t>https://www.tradingview.com/chart/?symbol=nyse:vst</t>
        </is>
      </c>
    </row>
    <row r="109">
      <c r="A109" s="18" t="n">
        <v>106</v>
      </c>
      <c r="B109" s="36" t="inlineStr">
        <is>
          <t>ETR</t>
        </is>
      </c>
      <c r="C109" s="18" t="inlineStr">
        <is>
          <t>Entergy Corporation</t>
        </is>
      </c>
      <c r="D109" s="18" t="inlineStr">
        <is>
          <t>A</t>
        </is>
      </c>
      <c r="E109" s="18" t="inlineStr">
        <is>
          <t>https://www.tradingview.com/chart/?symbol=nyse:etr</t>
        </is>
      </c>
    </row>
    <row r="110">
      <c r="A110" s="18" t="n">
        <v>107</v>
      </c>
      <c r="B110" s="36" t="inlineStr">
        <is>
          <t>CIEN</t>
        </is>
      </c>
      <c r="C110" s="18" t="inlineStr">
        <is>
          <t>Ciena Corporation</t>
        </is>
      </c>
      <c r="D110" s="18" t="inlineStr">
        <is>
          <t>A</t>
        </is>
      </c>
      <c r="E110" s="18" t="inlineStr">
        <is>
          <t>https://www.tradingview.com/chart/?symbol=nyse:cien</t>
        </is>
      </c>
    </row>
    <row r="111">
      <c r="A111" s="18" t="n">
        <v>108</v>
      </c>
      <c r="B111" s="36" t="inlineStr">
        <is>
          <t>CCJ</t>
        </is>
      </c>
      <c r="C111" s="18" t="inlineStr">
        <is>
          <t>Cameco Corporation</t>
        </is>
      </c>
      <c r="D111" s="18" t="inlineStr">
        <is>
          <t>A</t>
        </is>
      </c>
      <c r="E111" s="18" t="inlineStr">
        <is>
          <t>https://www.tradingview.com/chart/?symbol=nyse:ccj</t>
        </is>
      </c>
    </row>
    <row r="112">
      <c r="A112" s="18" t="n">
        <v>109</v>
      </c>
      <c r="B112" s="36" t="inlineStr">
        <is>
          <t>IBKR</t>
        </is>
      </c>
      <c r="C112" s="18" t="inlineStr">
        <is>
          <t>Interactive Brokers Group, Inc.</t>
        </is>
      </c>
      <c r="D112" s="18" t="inlineStr">
        <is>
          <t>A</t>
        </is>
      </c>
      <c r="E112" s="18" t="inlineStr">
        <is>
          <t>https://www.tradingview.com/chart/?symbol=nasdaq:ibkr</t>
        </is>
      </c>
    </row>
    <row r="113">
      <c r="A113" s="18" t="n">
        <v>110</v>
      </c>
      <c r="B113" s="36" t="inlineStr">
        <is>
          <t>MCHP</t>
        </is>
      </c>
      <c r="C113" s="18" t="inlineStr">
        <is>
          <t>Microchip Technology Incorporated</t>
        </is>
      </c>
      <c r="D113" s="18" t="inlineStr">
        <is>
          <t>A</t>
        </is>
      </c>
      <c r="E113" s="18" t="inlineStr">
        <is>
          <t>https://www.tradingview.com/chart/?symbol=nasdaq:mchp</t>
        </is>
      </c>
    </row>
    <row r="114">
      <c r="A114" s="18" t="n">
        <v>111</v>
      </c>
      <c r="B114" s="36" t="inlineStr">
        <is>
          <t>RPRX</t>
        </is>
      </c>
      <c r="C114" s="18" t="inlineStr">
        <is>
          <t>Royalty Pharma plc</t>
        </is>
      </c>
      <c r="D114" s="18" t="inlineStr">
        <is>
          <t>A</t>
        </is>
      </c>
      <c r="E114" s="18" t="inlineStr">
        <is>
          <t>https://www.tradingview.com/chart/?symbol=nasdaq:rprx</t>
        </is>
      </c>
    </row>
    <row r="115">
      <c r="A115" s="18" t="n">
        <v>112</v>
      </c>
      <c r="B115" s="36" t="inlineStr">
        <is>
          <t>CLS</t>
        </is>
      </c>
      <c r="C115" s="18" t="inlineStr">
        <is>
          <t>Celestica Inc.</t>
        </is>
      </c>
      <c r="D115" s="18" t="inlineStr">
        <is>
          <t>A</t>
        </is>
      </c>
      <c r="E115" s="18" t="inlineStr">
        <is>
          <t>https://www.tradingview.com/chart/?symbol=nyse:cls</t>
        </is>
      </c>
    </row>
    <row r="116">
      <c r="A116" s="18" t="n">
        <v>113</v>
      </c>
      <c r="B116" s="36" t="inlineStr">
        <is>
          <t>JBL</t>
        </is>
      </c>
      <c r="C116" s="18" t="inlineStr">
        <is>
          <t>Jabil Inc.</t>
        </is>
      </c>
      <c r="D116" s="18" t="inlineStr">
        <is>
          <t>A</t>
        </is>
      </c>
      <c r="E116" s="18" t="inlineStr">
        <is>
          <t>https://www.tradingview.com/chart/?symbol=nyse:jbl</t>
        </is>
      </c>
    </row>
    <row r="117">
      <c r="A117" s="18" t="n">
        <v>114</v>
      </c>
      <c r="B117" s="36" t="inlineStr">
        <is>
          <t>CRDO</t>
        </is>
      </c>
      <c r="C117" s="18" t="inlineStr">
        <is>
          <t>Credo Technology Group Holding Ltd</t>
        </is>
      </c>
      <c r="D117" s="18" t="inlineStr">
        <is>
          <t>A</t>
        </is>
      </c>
      <c r="E117" s="18" t="inlineStr">
        <is>
          <t>https://www.tradingview.com/chart/?symbol=nasdaq:crdo</t>
        </is>
      </c>
    </row>
    <row r="118">
      <c r="A118" s="18" t="n">
        <v>115</v>
      </c>
      <c r="B118" s="36" t="inlineStr">
        <is>
          <t>FTI</t>
        </is>
      </c>
      <c r="C118" s="18" t="inlineStr">
        <is>
          <t>TechnipFMC plc</t>
        </is>
      </c>
      <c r="D118" s="18" t="inlineStr">
        <is>
          <t>A</t>
        </is>
      </c>
      <c r="E118" s="18" t="inlineStr">
        <is>
          <t>https://www.tradingview.com/chart/?symbol=nyse:fti</t>
        </is>
      </c>
    </row>
    <row r="119">
      <c r="A119" s="18" t="n">
        <v>116</v>
      </c>
      <c r="B119" s="36" t="inlineStr">
        <is>
          <t>RDDT</t>
        </is>
      </c>
      <c r="C119" s="18" t="inlineStr">
        <is>
          <t>Reddit, Inc.</t>
        </is>
      </c>
      <c r="D119" s="18" t="inlineStr">
        <is>
          <t>A</t>
        </is>
      </c>
      <c r="E119" s="18" t="inlineStr">
        <is>
          <t>https://www.tradingview.com/chart/?symbol=nyse:rddt</t>
        </is>
      </c>
    </row>
    <row r="120">
      <c r="A120" s="18" t="n">
        <v>117</v>
      </c>
      <c r="B120" s="36" t="inlineStr">
        <is>
          <t>ATI</t>
        </is>
      </c>
      <c r="C120" s="18" t="inlineStr">
        <is>
          <t>ATI Inc.</t>
        </is>
      </c>
      <c r="D120" s="18" t="inlineStr">
        <is>
          <t>A</t>
        </is>
      </c>
      <c r="E120" s="18" t="inlineStr">
        <is>
          <t>https://www.tradingview.com/chart/?symbol=nyse:ati</t>
        </is>
      </c>
    </row>
    <row r="121">
      <c r="A121" s="18" t="n">
        <v>118</v>
      </c>
      <c r="B121" s="36" t="inlineStr">
        <is>
          <t>LH</t>
        </is>
      </c>
      <c r="C121" s="18" t="inlineStr">
        <is>
          <t>Labcorp Holdings Inc.</t>
        </is>
      </c>
      <c r="D121" s="18" t="inlineStr">
        <is>
          <t>A</t>
        </is>
      </c>
      <c r="E121" s="18" t="inlineStr">
        <is>
          <t>https://www.tradingview.com/chart/?symbol=nyse:lh</t>
        </is>
      </c>
    </row>
    <row r="122">
      <c r="A122" s="18" t="n">
        <v>119</v>
      </c>
      <c r="B122" s="36" t="inlineStr">
        <is>
          <t>SMCI</t>
        </is>
      </c>
      <c r="C122" s="18" t="inlineStr">
        <is>
          <t>Super Micro Computer, Inc.</t>
        </is>
      </c>
      <c r="D122" s="18" t="inlineStr">
        <is>
          <t>A</t>
        </is>
      </c>
      <c r="E122" s="18" t="inlineStr">
        <is>
          <t>https://www.tradingview.com/chart/?symbol=nasdaq:smci</t>
        </is>
      </c>
    </row>
    <row r="123">
      <c r="A123" s="18" t="n">
        <v>120</v>
      </c>
      <c r="B123" s="36" t="inlineStr">
        <is>
          <t>EXPD</t>
        </is>
      </c>
      <c r="C123" s="18" t="inlineStr">
        <is>
          <t>Expeditors International of Washington, Inc.</t>
        </is>
      </c>
      <c r="D123" s="18" t="inlineStr">
        <is>
          <t>A</t>
        </is>
      </c>
      <c r="E123" s="18" t="inlineStr">
        <is>
          <t>https://www.tradingview.com/chart/?symbol=nyse:expd</t>
        </is>
      </c>
    </row>
    <row r="124">
      <c r="A124" s="18" t="n">
        <v>121</v>
      </c>
      <c r="B124" s="36" t="inlineStr">
        <is>
          <t>TPR</t>
        </is>
      </c>
      <c r="C124" s="18" t="inlineStr">
        <is>
          <t>Tapestry, Inc.</t>
        </is>
      </c>
      <c r="D124" s="18" t="inlineStr">
        <is>
          <t>A</t>
        </is>
      </c>
      <c r="E124" s="18" t="inlineStr">
        <is>
          <t>https://www.tradingview.com/chart/?symbol=nyse:tpr</t>
        </is>
      </c>
    </row>
    <row r="125">
      <c r="A125" s="18" t="n">
        <v>122</v>
      </c>
      <c r="B125" s="36" t="inlineStr">
        <is>
          <t>HUBB</t>
        </is>
      </c>
      <c r="C125" s="18" t="inlineStr">
        <is>
          <t>Hubbell Incorporated</t>
        </is>
      </c>
      <c r="D125" s="18" t="inlineStr">
        <is>
          <t>A</t>
        </is>
      </c>
      <c r="E125" s="18" t="inlineStr">
        <is>
          <t>https://www.tradingview.com/chart/?symbol=nyse:hubb</t>
        </is>
      </c>
    </row>
    <row r="126">
      <c r="A126" s="18" t="n">
        <v>123</v>
      </c>
      <c r="B126" s="36" t="inlineStr">
        <is>
          <t>WST</t>
        </is>
      </c>
      <c r="C126" s="18" t="inlineStr">
        <is>
          <t>West Pharmaceutical Services, Inc.</t>
        </is>
      </c>
      <c r="D126" s="18" t="inlineStr">
        <is>
          <t>A</t>
        </is>
      </c>
      <c r="E126" s="18" t="inlineStr">
        <is>
          <t>https://www.tradingview.com/chart/?symbol=nyse:wst</t>
        </is>
      </c>
    </row>
    <row r="127">
      <c r="A127" s="18" t="n">
        <v>124</v>
      </c>
      <c r="B127" s="36" t="inlineStr">
        <is>
          <t>XPO</t>
        </is>
      </c>
      <c r="C127" s="18" t="inlineStr">
        <is>
          <t>XPO, Inc.</t>
        </is>
      </c>
      <c r="D127" s="18" t="inlineStr">
        <is>
          <t>A</t>
        </is>
      </c>
      <c r="E127" s="18" t="inlineStr">
        <is>
          <t>https://www.tradingview.com/chart/?symbol=nyse:xpo</t>
        </is>
      </c>
    </row>
    <row r="128">
      <c r="A128" s="18" t="n">
        <v>125</v>
      </c>
      <c r="B128" s="36" t="inlineStr">
        <is>
          <t>SNX</t>
        </is>
      </c>
      <c r="C128" s="18" t="inlineStr">
        <is>
          <t>TD SYNNEX Corporation</t>
        </is>
      </c>
      <c r="D128" s="18" t="inlineStr">
        <is>
          <t>A</t>
        </is>
      </c>
      <c r="E128" s="18" t="inlineStr">
        <is>
          <t>https://www.tradingview.com/chart/?symbol=nyse:snx</t>
        </is>
      </c>
    </row>
    <row r="129">
      <c r="A129" s="18" t="n">
        <v>126</v>
      </c>
      <c r="B129" s="36" t="inlineStr">
        <is>
          <t>CF</t>
        </is>
      </c>
      <c r="C129" s="18" t="inlineStr">
        <is>
          <t>CF Industries Holdings, Inc.</t>
        </is>
      </c>
      <c r="D129" s="18" t="inlineStr">
        <is>
          <t>A</t>
        </is>
      </c>
      <c r="E129" s="18" t="inlineStr">
        <is>
          <t>https://www.tradingview.com/chart/?symbol=nyse:cf</t>
        </is>
      </c>
    </row>
    <row r="130">
      <c r="A130" s="18" t="n">
        <v>127</v>
      </c>
      <c r="B130" s="36" t="inlineStr">
        <is>
          <t>DINO</t>
        </is>
      </c>
      <c r="C130" s="18" t="inlineStr">
        <is>
          <t>HF Sinclair Corporation</t>
        </is>
      </c>
      <c r="D130" s="18" t="inlineStr">
        <is>
          <t>A</t>
        </is>
      </c>
      <c r="E130" s="18" t="inlineStr">
        <is>
          <t>https://www.tradingview.com/chart/?symbol=nyse:dino</t>
        </is>
      </c>
    </row>
    <row r="131">
      <c r="A131" s="18" t="n">
        <v>128</v>
      </c>
      <c r="B131" s="36" t="inlineStr">
        <is>
          <t>MEDP</t>
        </is>
      </c>
      <c r="C131" s="18" t="inlineStr">
        <is>
          <t>Medpace Holdings, Inc.</t>
        </is>
      </c>
      <c r="D131" s="18" t="inlineStr">
        <is>
          <t>A</t>
        </is>
      </c>
      <c r="E131" s="18" t="inlineStr">
        <is>
          <t>https://www.tradingview.com/chart/?symbol=nasdaq:medp</t>
        </is>
      </c>
    </row>
    <row r="132">
      <c r="A132" s="18" t="n">
        <v>129</v>
      </c>
      <c r="B132" s="36" t="inlineStr">
        <is>
          <t>JAZZ</t>
        </is>
      </c>
      <c r="C132" s="18" t="inlineStr">
        <is>
          <t>Jazz Pharmaceuticals plc</t>
        </is>
      </c>
      <c r="D132" s="18" t="inlineStr">
        <is>
          <t>A</t>
        </is>
      </c>
      <c r="E132" s="18" t="inlineStr">
        <is>
          <t>https://www.tradingview.com/chart/?symbol=nasdaq:jazz</t>
        </is>
      </c>
    </row>
    <row r="133">
      <c r="A133" s="18" t="n">
        <v>130</v>
      </c>
      <c r="B133" s="36" t="inlineStr">
        <is>
          <t>TIGO</t>
        </is>
      </c>
      <c r="C133" s="18" t="inlineStr">
        <is>
          <t>Millicom International Cellular S.A.</t>
        </is>
      </c>
      <c r="D133" s="18" t="inlineStr">
        <is>
          <t>A</t>
        </is>
      </c>
      <c r="E133" s="18" t="inlineStr">
        <is>
          <t>https://www.tradingview.com/chart/?symbol=nasdaq:tigo</t>
        </is>
      </c>
    </row>
    <row r="134">
      <c r="A134" s="18" t="n">
        <v>131</v>
      </c>
      <c r="B134" s="36" t="inlineStr">
        <is>
          <t>H</t>
        </is>
      </c>
      <c r="C134" s="18" t="inlineStr">
        <is>
          <t>Hyatt Hotels Corporation</t>
        </is>
      </c>
      <c r="D134" s="18" t="inlineStr">
        <is>
          <t>A</t>
        </is>
      </c>
      <c r="E134" s="18" t="inlineStr">
        <is>
          <t>https://www.tradingview.com/chart/?symbol=nyse:h</t>
        </is>
      </c>
    </row>
    <row r="135">
      <c r="A135" s="18" t="n">
        <v>132</v>
      </c>
      <c r="B135" s="36" t="inlineStr">
        <is>
          <t>UNM</t>
        </is>
      </c>
      <c r="C135" s="18" t="inlineStr">
        <is>
          <t>Unum Group</t>
        </is>
      </c>
      <c r="D135" s="18" t="inlineStr">
        <is>
          <t>A</t>
        </is>
      </c>
      <c r="E135" s="18" t="inlineStr">
        <is>
          <t>https://www.tradingview.com/chart/?symbol=nyse:unm</t>
        </is>
      </c>
    </row>
    <row r="136">
      <c r="A136" s="18" t="n">
        <v>133</v>
      </c>
      <c r="B136" s="36" t="inlineStr">
        <is>
          <t>HST</t>
        </is>
      </c>
      <c r="C136" s="18" t="inlineStr">
        <is>
          <t>Host Hotels &amp; Resorts, Inc.</t>
        </is>
      </c>
      <c r="D136" s="18" t="inlineStr">
        <is>
          <t>A</t>
        </is>
      </c>
      <c r="E136" s="18" t="inlineStr">
        <is>
          <t>https://www.tradingview.com/chart/?symbol=nasdaq:hst</t>
        </is>
      </c>
    </row>
    <row r="137">
      <c r="A137" s="18" t="n">
        <v>134</v>
      </c>
      <c r="B137" s="36" t="inlineStr">
        <is>
          <t>FN</t>
        </is>
      </c>
      <c r="C137" s="18" t="inlineStr">
        <is>
          <t>Fabrinet</t>
        </is>
      </c>
      <c r="D137" s="18" t="inlineStr">
        <is>
          <t>A</t>
        </is>
      </c>
      <c r="E137" s="18" t="inlineStr">
        <is>
          <t>https://www.tradingview.com/chart/?symbol=nyse:fn</t>
        </is>
      </c>
    </row>
    <row r="138">
      <c r="A138" s="18" t="n">
        <v>135</v>
      </c>
      <c r="B138" s="36" t="inlineStr">
        <is>
          <t>GL</t>
        </is>
      </c>
      <c r="C138" s="18" t="inlineStr">
        <is>
          <t>Globe Life Inc.</t>
        </is>
      </c>
      <c r="D138" s="18" t="inlineStr">
        <is>
          <t>A</t>
        </is>
      </c>
      <c r="E138" s="18" t="inlineStr">
        <is>
          <t>https://www.tradingview.com/chart/?symbol=nyse:gl</t>
        </is>
      </c>
    </row>
    <row r="139">
      <c r="A139" s="18" t="n">
        <v>136</v>
      </c>
      <c r="B139" s="36" t="inlineStr">
        <is>
          <t>TXRH</t>
        </is>
      </c>
      <c r="C139" s="18" t="inlineStr">
        <is>
          <t>Texas Roadhouse, Inc.</t>
        </is>
      </c>
      <c r="D139" s="18" t="inlineStr">
        <is>
          <t>A</t>
        </is>
      </c>
      <c r="E139" s="18" t="inlineStr">
        <is>
          <t>https://www.tradingview.com/chart/?symbol=nasdaq:txrh</t>
        </is>
      </c>
    </row>
    <row r="140">
      <c r="A140" s="18" t="n">
        <v>137</v>
      </c>
      <c r="B140" s="36" t="inlineStr">
        <is>
          <t>HII</t>
        </is>
      </c>
      <c r="C140" s="18" t="inlineStr">
        <is>
          <t>Huntington Ingalls Industries, Inc.</t>
        </is>
      </c>
      <c r="D140" s="18" t="inlineStr">
        <is>
          <t>A</t>
        </is>
      </c>
      <c r="E140" s="18" t="inlineStr">
        <is>
          <t>https://www.tradingview.com/chart/?symbol=nyse:hii</t>
        </is>
      </c>
    </row>
    <row r="141">
      <c r="A141" s="18" t="n">
        <v>138</v>
      </c>
      <c r="B141" s="36" t="inlineStr">
        <is>
          <t>LULU</t>
        </is>
      </c>
      <c r="C141" s="18" t="inlineStr">
        <is>
          <t>lululemon athletica inc.</t>
        </is>
      </c>
      <c r="D141" s="18" t="inlineStr">
        <is>
          <t>A</t>
        </is>
      </c>
      <c r="E141" s="18" t="inlineStr">
        <is>
          <t>https://www.tradingview.com/chart/?symbol=nasdaq:lulu</t>
        </is>
      </c>
    </row>
    <row r="142">
      <c r="A142" s="18" t="n">
        <v>139</v>
      </c>
      <c r="B142" s="36" t="inlineStr">
        <is>
          <t>CGNX</t>
        </is>
      </c>
      <c r="C142" s="18" t="inlineStr">
        <is>
          <t>Cognex Corporation</t>
        </is>
      </c>
      <c r="D142" s="18" t="inlineStr">
        <is>
          <t>A</t>
        </is>
      </c>
      <c r="E142" s="18" t="inlineStr">
        <is>
          <t>https://www.tradingview.com/chart/?symbol=nasdaq:cgnx</t>
        </is>
      </c>
    </row>
    <row r="143">
      <c r="A143" s="18" t="n">
        <v>140</v>
      </c>
      <c r="B143" s="36" t="inlineStr">
        <is>
          <t>MOD</t>
        </is>
      </c>
      <c r="C143" s="18" t="inlineStr">
        <is>
          <t>Modine Manufacturing Company</t>
        </is>
      </c>
      <c r="D143" s="18" t="inlineStr">
        <is>
          <t>A</t>
        </is>
      </c>
      <c r="E143" s="18" t="inlineStr">
        <is>
          <t>https://www.tradingview.com/chart/?symbol=nyse:mod</t>
        </is>
      </c>
    </row>
    <row r="144">
      <c r="A144" s="18" t="n">
        <v>141</v>
      </c>
      <c r="B144" s="36" t="inlineStr">
        <is>
          <t>FCFS</t>
        </is>
      </c>
      <c r="C144" s="18" t="inlineStr">
        <is>
          <t>FirstCash Holdings, Inc.</t>
        </is>
      </c>
      <c r="D144" s="18" t="inlineStr">
        <is>
          <t>A</t>
        </is>
      </c>
      <c r="E144" s="18" t="inlineStr">
        <is>
          <t>https://www.tradingview.com/chart/?symbol=nasdaq:fcfs</t>
        </is>
      </c>
    </row>
    <row r="145">
      <c r="A145" s="18" t="n">
        <v>142</v>
      </c>
      <c r="B145" s="36" t="inlineStr">
        <is>
          <t>VOYA</t>
        </is>
      </c>
      <c r="C145" s="18" t="inlineStr">
        <is>
          <t>Voya Financial, Inc.</t>
        </is>
      </c>
      <c r="D145" s="18" t="inlineStr">
        <is>
          <t>A</t>
        </is>
      </c>
      <c r="E145" s="18" t="inlineStr">
        <is>
          <t>https://www.tradingview.com/chart/?symbol=nyse:voya</t>
        </is>
      </c>
    </row>
    <row r="146">
      <c r="A146" s="18" t="n">
        <v>143</v>
      </c>
      <c r="B146" s="36" t="inlineStr">
        <is>
          <t>TGTX</t>
        </is>
      </c>
      <c r="C146" s="18" t="inlineStr">
        <is>
          <t>TG Therapeutics, Inc.</t>
        </is>
      </c>
      <c r="D146" s="18" t="inlineStr">
        <is>
          <t>A</t>
        </is>
      </c>
      <c r="E146" s="18" t="inlineStr">
        <is>
          <t>https://www.tradingview.com/chart/?symbol=nasdaq:tgtx</t>
        </is>
      </c>
    </row>
    <row r="147">
      <c r="A147" s="18" t="n">
        <v>144</v>
      </c>
      <c r="B147" s="36" t="inlineStr">
        <is>
          <t>CHRD</t>
        </is>
      </c>
      <c r="C147" s="18" t="inlineStr">
        <is>
          <t>Chord Energy Corporation</t>
        </is>
      </c>
      <c r="D147" s="18" t="inlineStr">
        <is>
          <t>A</t>
        </is>
      </c>
      <c r="E147" s="18" t="inlineStr">
        <is>
          <t>https://www.tradingview.com/chart/?symbol=nasdaq:chrd</t>
        </is>
      </c>
    </row>
    <row r="148">
      <c r="A148" s="18" t="n">
        <v>145</v>
      </c>
      <c r="B148" s="36" t="inlineStr">
        <is>
          <t>GAP</t>
        </is>
      </c>
      <c r="C148" s="18" t="inlineStr">
        <is>
          <t>The Gap, Inc.</t>
        </is>
      </c>
      <c r="D148" s="18" t="inlineStr">
        <is>
          <t>A</t>
        </is>
      </c>
      <c r="E148" s="18" t="inlineStr">
        <is>
          <t>https://www.tradingview.com/chart/?symbol=nyse:gap</t>
        </is>
      </c>
    </row>
    <row r="149">
      <c r="A149" s="18" t="n">
        <v>146</v>
      </c>
      <c r="B149" s="36" t="inlineStr">
        <is>
          <t>SOBO</t>
        </is>
      </c>
      <c r="C149" s="18" t="inlineStr">
        <is>
          <t>South Bow Corporation</t>
        </is>
      </c>
      <c r="D149" s="18" t="inlineStr">
        <is>
          <t>A</t>
        </is>
      </c>
      <c r="E149" s="18" t="inlineStr">
        <is>
          <t>https://www.tradingview.com/chart/?symbol=nyse:sobo</t>
        </is>
      </c>
    </row>
    <row r="150">
      <c r="A150" s="18" t="n">
        <v>147</v>
      </c>
      <c r="B150" s="36" t="inlineStr">
        <is>
          <t>DUOL</t>
        </is>
      </c>
      <c r="C150" s="18" t="inlineStr">
        <is>
          <t>Duolingo, Inc.</t>
        </is>
      </c>
      <c r="D150" s="18" t="inlineStr">
        <is>
          <t>A</t>
        </is>
      </c>
      <c r="E150" s="18" t="inlineStr">
        <is>
          <t>https://www.tradingview.com/chart/?symbol=nasdaq:duol</t>
        </is>
      </c>
    </row>
    <row r="151">
      <c r="A151" s="18" t="n">
        <v>148</v>
      </c>
      <c r="B151" s="36" t="inlineStr">
        <is>
          <t>URBN</t>
        </is>
      </c>
      <c r="C151" s="18" t="inlineStr">
        <is>
          <t>Urban Outfitters, Inc.</t>
        </is>
      </c>
      <c r="D151" s="18" t="inlineStr">
        <is>
          <t>A</t>
        </is>
      </c>
      <c r="E151" s="18" t="inlineStr">
        <is>
          <t>https://www.tradingview.com/chart/?symbol=nasdaq:urbn</t>
        </is>
      </c>
    </row>
    <row r="152">
      <c r="A152" s="18" t="n">
        <v>149</v>
      </c>
      <c r="B152" s="36" t="inlineStr">
        <is>
          <t>MATX</t>
        </is>
      </c>
      <c r="C152" s="18" t="inlineStr">
        <is>
          <t>Matson, Inc.</t>
        </is>
      </c>
      <c r="D152" s="18" t="inlineStr">
        <is>
          <t>A</t>
        </is>
      </c>
      <c r="E152" s="18" t="inlineStr">
        <is>
          <t>https://www.tradingview.com/chart/?symbol=nyse:matx</t>
        </is>
      </c>
    </row>
    <row r="153">
      <c r="A153" s="18" t="n">
        <v>150</v>
      </c>
      <c r="B153" s="36" t="inlineStr">
        <is>
          <t>UBSI</t>
        </is>
      </c>
      <c r="C153" s="18" t="inlineStr">
        <is>
          <t>United Bankshares, Inc.</t>
        </is>
      </c>
      <c r="D153" s="18" t="inlineStr">
        <is>
          <t>A</t>
        </is>
      </c>
      <c r="E153" s="18" t="inlineStr">
        <is>
          <t>https://www.tradingview.com/chart/?symbol=nasdaq:ubsi</t>
        </is>
      </c>
    </row>
    <row r="154">
      <c r="A154" s="18" t="n">
        <v>151</v>
      </c>
      <c r="B154" s="36" t="inlineStr">
        <is>
          <t>LQDA</t>
        </is>
      </c>
      <c r="C154" s="18" t="inlineStr">
        <is>
          <t>Liquidia Corporation</t>
        </is>
      </c>
      <c r="D154" s="18" t="inlineStr">
        <is>
          <t>A</t>
        </is>
      </c>
      <c r="E154" s="18" t="inlineStr">
        <is>
          <t>https://www.tradingview.com/chart/?symbol=nasdaq:lqda</t>
        </is>
      </c>
    </row>
    <row r="155">
      <c r="A155" s="18" t="n">
        <v>152</v>
      </c>
      <c r="B155" s="36" t="inlineStr">
        <is>
          <t>KNSA</t>
        </is>
      </c>
      <c r="C155" s="18" t="inlineStr">
        <is>
          <t>Kiniksa Pharmaceuticals International, plc</t>
        </is>
      </c>
      <c r="D155" s="18" t="inlineStr">
        <is>
          <t>A</t>
        </is>
      </c>
      <c r="E155" s="18" t="inlineStr">
        <is>
          <t>https://www.tradingview.com/chart/?symbol=nasdaq:knsa</t>
        </is>
      </c>
    </row>
    <row r="156">
      <c r="A156" s="18" t="n">
        <v>153</v>
      </c>
      <c r="B156" s="36" t="inlineStr">
        <is>
          <t>AMRX</t>
        </is>
      </c>
      <c r="C156" s="18" t="inlineStr">
        <is>
          <t>Amneal Pharmaceuticals, Inc.</t>
        </is>
      </c>
      <c r="D156" s="18" t="inlineStr">
        <is>
          <t>A</t>
        </is>
      </c>
      <c r="E156" s="18" t="inlineStr">
        <is>
          <t>https://www.tradingview.com/chart/?symbol=nasdaq:amrx</t>
        </is>
      </c>
    </row>
    <row r="157">
      <c r="A157" s="18" t="n">
        <v>154</v>
      </c>
      <c r="B157" s="36" t="inlineStr">
        <is>
          <t>RUSHB</t>
        </is>
      </c>
      <c r="C157" s="18" t="inlineStr">
        <is>
          <t>Rush Enterprises, Inc.</t>
        </is>
      </c>
      <c r="D157" s="18" t="inlineStr">
        <is>
          <t>A</t>
        </is>
      </c>
      <c r="E157" s="18" t="inlineStr">
        <is>
          <t>https://www.tradingview.com/chart/?symbol=nasdaq:rushb</t>
        </is>
      </c>
    </row>
    <row r="158">
      <c r="A158" s="18" t="n">
        <v>155</v>
      </c>
      <c r="B158" s="36" t="inlineStr">
        <is>
          <t>ENVA</t>
        </is>
      </c>
      <c r="C158" s="18" t="inlineStr">
        <is>
          <t>Enova International, Inc.</t>
        </is>
      </c>
      <c r="D158" s="18" t="inlineStr">
        <is>
          <t>A</t>
        </is>
      </c>
      <c r="E158" s="18" t="inlineStr">
        <is>
          <t>https://www.tradingview.com/chart/?symbol=nyse:enva</t>
        </is>
      </c>
    </row>
    <row r="159">
      <c r="A159" s="18" t="n">
        <v>156</v>
      </c>
      <c r="B159" s="36" t="inlineStr">
        <is>
          <t>BIRK</t>
        </is>
      </c>
      <c r="C159" s="18" t="inlineStr">
        <is>
          <t>Birkenstock Holding plc</t>
        </is>
      </c>
      <c r="D159" s="18" t="inlineStr">
        <is>
          <t>A</t>
        </is>
      </c>
      <c r="E159" s="18" t="inlineStr">
        <is>
          <t>https://www.tradingview.com/chart/?symbol=nyse:birk</t>
        </is>
      </c>
    </row>
    <row r="160">
      <c r="A160" s="18" t="n">
        <v>157</v>
      </c>
      <c r="B160" s="36" t="inlineStr">
        <is>
          <t>INSW</t>
        </is>
      </c>
      <c r="C160" s="18" t="inlineStr">
        <is>
          <t>International Seaways, Inc.</t>
        </is>
      </c>
      <c r="D160" s="18" t="inlineStr">
        <is>
          <t>A</t>
        </is>
      </c>
      <c r="E160" s="18" t="inlineStr">
        <is>
          <t>https://www.tradingview.com/chart/?symbol=nyse:insw</t>
        </is>
      </c>
    </row>
    <row r="161">
      <c r="A161" s="18" t="n">
        <v>158</v>
      </c>
      <c r="B161" s="36" t="inlineStr">
        <is>
          <t>EBC</t>
        </is>
      </c>
      <c r="C161" s="18" t="inlineStr">
        <is>
          <t>Eastern Bankshares, Inc.</t>
        </is>
      </c>
      <c r="D161" s="18" t="inlineStr">
        <is>
          <t>A</t>
        </is>
      </c>
      <c r="E161" s="18" t="inlineStr">
        <is>
          <t>https://www.tradingview.com/chart/?symbol=nasdaq:ebc</t>
        </is>
      </c>
    </row>
    <row r="162">
      <c r="A162" s="18" t="n">
        <v>159</v>
      </c>
      <c r="B162" s="36" t="inlineStr">
        <is>
          <t>UNF</t>
        </is>
      </c>
      <c r="C162" s="18" t="inlineStr">
        <is>
          <t>UniFirst Corporation</t>
        </is>
      </c>
      <c r="D162" s="18" t="inlineStr">
        <is>
          <t>A</t>
        </is>
      </c>
      <c r="E162" s="18" t="inlineStr">
        <is>
          <t>https://www.tradingview.com/chart/?symbol=nyse:unf</t>
        </is>
      </c>
    </row>
    <row r="163">
      <c r="A163" s="18" t="n">
        <v>160</v>
      </c>
      <c r="B163" s="36" t="inlineStr">
        <is>
          <t>BOOT</t>
        </is>
      </c>
      <c r="C163" s="18" t="inlineStr">
        <is>
          <t>Boot Barn Holdings, Inc.</t>
        </is>
      </c>
      <c r="D163" s="18" t="inlineStr">
        <is>
          <t>A</t>
        </is>
      </c>
      <c r="E163" s="18" t="inlineStr">
        <is>
          <t>https://www.tradingview.com/chart/?symbol=nyse:boot</t>
        </is>
      </c>
    </row>
    <row r="164">
      <c r="A164" s="18" t="n">
        <v>161</v>
      </c>
      <c r="B164" s="36" t="inlineStr">
        <is>
          <t>KFY</t>
        </is>
      </c>
      <c r="C164" s="18" t="inlineStr">
        <is>
          <t>Korn Ferry</t>
        </is>
      </c>
      <c r="D164" s="18" t="inlineStr">
        <is>
          <t>A</t>
        </is>
      </c>
      <c r="E164" s="18" t="inlineStr">
        <is>
          <t>https://www.tradingview.com/chart/?symbol=nyse:kfy</t>
        </is>
      </c>
    </row>
    <row r="165">
      <c r="A165" s="18" t="n">
        <v>162</v>
      </c>
      <c r="B165" s="36" t="inlineStr">
        <is>
          <t>MEOH</t>
        </is>
      </c>
      <c r="C165" s="18" t="inlineStr">
        <is>
          <t>Methanex Corporation</t>
        </is>
      </c>
      <c r="D165" s="18" t="inlineStr">
        <is>
          <t>A</t>
        </is>
      </c>
      <c r="E165" s="18" t="inlineStr">
        <is>
          <t>https://www.tradingview.com/chart/?symbol=nasdaq:meoh</t>
        </is>
      </c>
    </row>
    <row r="166">
      <c r="A166" s="18" t="n">
        <v>163</v>
      </c>
      <c r="B166" s="36" t="inlineStr">
        <is>
          <t>FBP</t>
        </is>
      </c>
      <c r="C166" s="18" t="inlineStr">
        <is>
          <t>First BanCorp.</t>
        </is>
      </c>
      <c r="D166" s="18" t="inlineStr">
        <is>
          <t>A</t>
        </is>
      </c>
      <c r="E166" s="18" t="inlineStr">
        <is>
          <t>https://www.tradingview.com/chart/?symbol=nyse:fbp</t>
        </is>
      </c>
    </row>
    <row r="167">
      <c r="A167" s="18" t="n">
        <v>164</v>
      </c>
      <c r="B167" s="36" t="inlineStr">
        <is>
          <t>BFH</t>
        </is>
      </c>
      <c r="C167" s="18" t="inlineStr">
        <is>
          <t>Bread Financial Holdings, Inc.</t>
        </is>
      </c>
      <c r="D167" s="18" t="inlineStr">
        <is>
          <t>A</t>
        </is>
      </c>
      <c r="E167" s="18" t="inlineStr">
        <is>
          <t>https://www.tradingview.com/chart/?symbol=nyse:bfh</t>
        </is>
      </c>
    </row>
    <row r="168">
      <c r="A168" s="18" t="n">
        <v>165</v>
      </c>
      <c r="B168" s="36" t="inlineStr">
        <is>
          <t>GEO</t>
        </is>
      </c>
      <c r="C168" s="18" t="inlineStr">
        <is>
          <t>The GEO Group, Inc.</t>
        </is>
      </c>
      <c r="D168" s="18" t="inlineStr">
        <is>
          <t>A</t>
        </is>
      </c>
      <c r="E168" s="18" t="inlineStr">
        <is>
          <t>https://www.tradingview.com/chart/?symbol=nyse:geo</t>
        </is>
      </c>
    </row>
    <row r="169">
      <c r="A169" s="18" t="n">
        <v>166</v>
      </c>
      <c r="B169" s="36" t="inlineStr">
        <is>
          <t>PARR</t>
        </is>
      </c>
      <c r="C169" s="18" t="inlineStr">
        <is>
          <t>Par Pacific Holdings, Inc.</t>
        </is>
      </c>
      <c r="D169" s="18" t="inlineStr">
        <is>
          <t>A</t>
        </is>
      </c>
      <c r="E169" s="18" t="inlineStr">
        <is>
          <t>https://www.tradingview.com/chart/?symbol=nyse:parr</t>
        </is>
      </c>
    </row>
    <row r="170">
      <c r="A170" s="18" t="n">
        <v>167</v>
      </c>
      <c r="B170" s="36" t="inlineStr">
        <is>
          <t>WSFS</t>
        </is>
      </c>
      <c r="C170" s="18" t="inlineStr">
        <is>
          <t>WSFS Financial Corporation</t>
        </is>
      </c>
      <c r="D170" s="18" t="inlineStr">
        <is>
          <t>A</t>
        </is>
      </c>
      <c r="E170" s="18" t="inlineStr">
        <is>
          <t>https://www.tradingview.com/chart/?symbol=nasdaq:wsfs</t>
        </is>
      </c>
    </row>
    <row r="171">
      <c r="A171" s="18" t="n">
        <v>168</v>
      </c>
      <c r="B171" s="36" t="inlineStr">
        <is>
          <t>CDP</t>
        </is>
      </c>
      <c r="C171" s="18" t="inlineStr">
        <is>
          <t>COPT Defense Properties</t>
        </is>
      </c>
      <c r="D171" s="18" t="inlineStr">
        <is>
          <t>A</t>
        </is>
      </c>
      <c r="E171" s="18" t="inlineStr">
        <is>
          <t>https://www.tradingview.com/chart/?symbol=nyse:cdp</t>
        </is>
      </c>
    </row>
    <row r="172">
      <c r="A172" s="18" t="n">
        <v>169</v>
      </c>
      <c r="B172" s="36" t="inlineStr">
        <is>
          <t>WT</t>
        </is>
      </c>
      <c r="C172" s="18" t="inlineStr">
        <is>
          <t>WisdomTree, Inc.</t>
        </is>
      </c>
      <c r="D172" s="18" t="inlineStr">
        <is>
          <t>A</t>
        </is>
      </c>
      <c r="E172" s="18" t="inlineStr">
        <is>
          <t>https://www.tradingview.com/chart/?symbol=nyse:wt</t>
        </is>
      </c>
    </row>
    <row r="173">
      <c r="A173" s="18" t="n">
        <v>170</v>
      </c>
      <c r="B173" s="36" t="inlineStr">
        <is>
          <t>APLE</t>
        </is>
      </c>
      <c r="C173" s="18" t="inlineStr">
        <is>
          <t>Apple Hospitality REIT, Inc.</t>
        </is>
      </c>
      <c r="D173" s="18" t="inlineStr">
        <is>
          <t>A</t>
        </is>
      </c>
      <c r="E173" s="18" t="inlineStr">
        <is>
          <t>https://www.tradingview.com/chart/?symbol=nyse:aple</t>
        </is>
      </c>
    </row>
    <row r="174">
      <c r="A174" s="18" t="n">
        <v>171</v>
      </c>
      <c r="B174" s="36" t="inlineStr">
        <is>
          <t>AWR</t>
        </is>
      </c>
      <c r="C174" s="18" t="inlineStr">
        <is>
          <t>American States Water Company</t>
        </is>
      </c>
      <c r="D174" s="18" t="inlineStr">
        <is>
          <t>A</t>
        </is>
      </c>
      <c r="E174" s="18" t="inlineStr">
        <is>
          <t>https://www.tradingview.com/chart/?symbol=nyse:awr</t>
        </is>
      </c>
    </row>
    <row r="175">
      <c r="A175" s="18" t="n">
        <v>172</v>
      </c>
      <c r="B175" s="36" t="inlineStr">
        <is>
          <t>CXW</t>
        </is>
      </c>
      <c r="C175" s="18" t="inlineStr">
        <is>
          <t>CoreCivic, Inc.</t>
        </is>
      </c>
      <c r="D175" s="18" t="inlineStr">
        <is>
          <t>A</t>
        </is>
      </c>
      <c r="E175" s="18" t="inlineStr">
        <is>
          <t>https://www.tradingview.com/chart/?symbol=nyse:cxw</t>
        </is>
      </c>
    </row>
    <row r="176">
      <c r="A176" s="18" t="n">
        <v>173</v>
      </c>
      <c r="B176" s="36" t="inlineStr">
        <is>
          <t>NHC</t>
        </is>
      </c>
      <c r="C176" s="18" t="inlineStr">
        <is>
          <t>National HealthCare Corporation</t>
        </is>
      </c>
      <c r="D176" s="18" t="inlineStr">
        <is>
          <t>A</t>
        </is>
      </c>
      <c r="E176" s="18" t="inlineStr">
        <is>
          <t>https://www.tradingview.com/chart/?symbol=amex:nhc</t>
        </is>
      </c>
    </row>
    <row r="177">
      <c r="A177" s="18" t="n">
        <v>174</v>
      </c>
      <c r="B177" s="36" t="inlineStr">
        <is>
          <t>VCYT</t>
        </is>
      </c>
      <c r="C177" s="18" t="inlineStr">
        <is>
          <t>Veracyte, Inc.</t>
        </is>
      </c>
      <c r="D177" s="18" t="inlineStr">
        <is>
          <t>A</t>
        </is>
      </c>
      <c r="E177" s="18" t="inlineStr">
        <is>
          <t>https://www.tradingview.com/chart/?symbol=nasdaq:vcyt</t>
        </is>
      </c>
    </row>
    <row r="178">
      <c r="A178" s="18" t="n">
        <v>175</v>
      </c>
      <c r="B178" s="36" t="inlineStr">
        <is>
          <t>PK</t>
        </is>
      </c>
      <c r="C178" s="18" t="inlineStr">
        <is>
          <t>Park Hotels &amp; Resorts Inc.</t>
        </is>
      </c>
      <c r="D178" s="18" t="inlineStr">
        <is>
          <t>A</t>
        </is>
      </c>
      <c r="E178" s="18" t="inlineStr">
        <is>
          <t>https://www.tradingview.com/chart/?symbol=nyse:pk</t>
        </is>
      </c>
    </row>
    <row r="179">
      <c r="A179" s="18" t="n">
        <v>176</v>
      </c>
      <c r="B179" s="36" t="inlineStr">
        <is>
          <t>HG</t>
        </is>
      </c>
      <c r="C179" s="18" t="inlineStr">
        <is>
          <t>Hamilton Insurance Group, Ltd.</t>
        </is>
      </c>
      <c r="D179" s="18" t="inlineStr">
        <is>
          <t>A</t>
        </is>
      </c>
      <c r="E179" s="18" t="inlineStr">
        <is>
          <t>https://www.tradingview.com/chart/?symbol=nyse:hg</t>
        </is>
      </c>
    </row>
    <row r="180">
      <c r="A180" s="18" t="n">
        <v>177</v>
      </c>
      <c r="B180" s="36" t="inlineStr">
        <is>
          <t>AEO</t>
        </is>
      </c>
      <c r="C180" s="18" t="inlineStr">
        <is>
          <t>American Eagle Outfitters, Inc.</t>
        </is>
      </c>
      <c r="D180" s="18" t="inlineStr">
        <is>
          <t>A</t>
        </is>
      </c>
      <c r="E180" s="18" t="inlineStr">
        <is>
          <t>https://www.tradingview.com/chart/?symbol=nyse:aeo</t>
        </is>
      </c>
    </row>
    <row r="181">
      <c r="A181" s="18" t="n">
        <v>178</v>
      </c>
      <c r="B181" s="36" t="inlineStr">
        <is>
          <t>SLDE</t>
        </is>
      </c>
      <c r="C181" s="18" t="inlineStr">
        <is>
          <t>Slide Insurance Holdings, Inc.</t>
        </is>
      </c>
      <c r="D181" s="18" t="inlineStr">
        <is>
          <t>A</t>
        </is>
      </c>
      <c r="E181" s="18" t="inlineStr">
        <is>
          <t>https://www.tradingview.com/chart/?symbol=nasdaq:slde</t>
        </is>
      </c>
    </row>
    <row r="182">
      <c r="A182" s="18" t="n">
        <v>179</v>
      </c>
      <c r="B182" s="36" t="inlineStr">
        <is>
          <t>WTTR</t>
        </is>
      </c>
      <c r="C182" s="18" t="inlineStr">
        <is>
          <t>Select Water Solutions, Inc.</t>
        </is>
      </c>
      <c r="D182" s="18" t="inlineStr">
        <is>
          <t>A</t>
        </is>
      </c>
      <c r="E182" s="18" t="inlineStr">
        <is>
          <t>https://www.tradingview.com/chart/?symbol=nyse:wttr</t>
        </is>
      </c>
    </row>
    <row r="183">
      <c r="A183" s="18" t="n">
        <v>180</v>
      </c>
      <c r="B183" s="36" t="inlineStr">
        <is>
          <t>HTO</t>
        </is>
      </c>
      <c r="C183" s="18" t="inlineStr">
        <is>
          <t>H2O America</t>
        </is>
      </c>
      <c r="D183" s="18" t="inlineStr">
        <is>
          <t>A</t>
        </is>
      </c>
      <c r="E183" s="18" t="inlineStr">
        <is>
          <t>https://www.tradingview.com/chart/?symbol=nyse:hto</t>
        </is>
      </c>
    </row>
    <row r="184">
      <c r="A184" s="18" t="n">
        <v>181</v>
      </c>
      <c r="B184" s="36" t="inlineStr">
        <is>
          <t>DRH</t>
        </is>
      </c>
      <c r="C184" s="18" t="inlineStr">
        <is>
          <t>DiamondRock Hospitality Company</t>
        </is>
      </c>
      <c r="D184" s="18" t="inlineStr">
        <is>
          <t>A</t>
        </is>
      </c>
      <c r="E184" s="18" t="inlineStr">
        <is>
          <t>https://www.tradingview.com/chart/?symbol=nyse:drh</t>
        </is>
      </c>
    </row>
    <row r="185">
      <c r="A185" s="18" t="n">
        <v>182</v>
      </c>
      <c r="B185" s="36" t="inlineStr">
        <is>
          <t>NWBI</t>
        </is>
      </c>
      <c r="C185" s="18" t="inlineStr">
        <is>
          <t>Northwest Bancshares, Inc.</t>
        </is>
      </c>
      <c r="D185" s="18" t="inlineStr">
        <is>
          <t>A</t>
        </is>
      </c>
      <c r="E185" s="18" t="inlineStr">
        <is>
          <t>https://www.tradingview.com/chart/?symbol=nasdaq:nwbi</t>
        </is>
      </c>
    </row>
    <row r="186">
      <c r="A186" s="18" t="n">
        <v>183</v>
      </c>
      <c r="B186" s="36" t="inlineStr">
        <is>
          <t>OFG</t>
        </is>
      </c>
      <c r="C186" s="18" t="inlineStr">
        <is>
          <t>OFG Bancorp</t>
        </is>
      </c>
      <c r="D186" s="18" t="inlineStr">
        <is>
          <t>A</t>
        </is>
      </c>
      <c r="E186" s="18" t="inlineStr">
        <is>
          <t>https://www.tradingview.com/chart/?symbol=nyse:ofg</t>
        </is>
      </c>
    </row>
    <row r="187">
      <c r="A187" s="18" t="n">
        <v>184</v>
      </c>
      <c r="B187" s="36" t="inlineStr">
        <is>
          <t>UFPT</t>
        </is>
      </c>
      <c r="C187" s="18" t="inlineStr">
        <is>
          <t>UFP Technologies, Inc.</t>
        </is>
      </c>
      <c r="D187" s="18" t="inlineStr">
        <is>
          <t>A</t>
        </is>
      </c>
      <c r="E187" s="18" t="inlineStr">
        <is>
          <t>https://www.tradingview.com/chart/?symbol=nasdaq:ufpt</t>
        </is>
      </c>
    </row>
    <row r="188">
      <c r="A188" s="18" t="n">
        <v>185</v>
      </c>
      <c r="B188" s="36" t="inlineStr">
        <is>
          <t>PEB</t>
        </is>
      </c>
      <c r="C188" s="18" t="inlineStr">
        <is>
          <t>Pebblebrook Hotel Trust</t>
        </is>
      </c>
      <c r="D188" s="18" t="inlineStr">
        <is>
          <t>A</t>
        </is>
      </c>
      <c r="E188" s="18" t="inlineStr">
        <is>
          <t>https://www.tradingview.com/chart/?symbol=nyse:peb</t>
        </is>
      </c>
    </row>
    <row r="189">
      <c r="A189" s="18" t="n">
        <v>186</v>
      </c>
      <c r="B189" s="36" t="inlineStr">
        <is>
          <t>KARO</t>
        </is>
      </c>
      <c r="C189" s="18" t="inlineStr">
        <is>
          <t>Karooooo Ltd.</t>
        </is>
      </c>
      <c r="D189" s="18" t="inlineStr">
        <is>
          <t>A</t>
        </is>
      </c>
      <c r="E189" s="18" t="inlineStr">
        <is>
          <t>https://www.tradingview.com/chart/?symbol=nasdaq:karo</t>
        </is>
      </c>
    </row>
    <row r="190">
      <c r="A190" s="18" t="n">
        <v>187</v>
      </c>
      <c r="B190" s="36" t="inlineStr">
        <is>
          <t>ZD</t>
        </is>
      </c>
      <c r="C190" s="18" t="inlineStr">
        <is>
          <t>Ziff Davis, Inc.</t>
        </is>
      </c>
      <c r="D190" s="18" t="inlineStr">
        <is>
          <t>A</t>
        </is>
      </c>
      <c r="E190" s="18" t="inlineStr">
        <is>
          <t>https://www.tradingview.com/chart/?symbol=nasdaq:zd</t>
        </is>
      </c>
    </row>
    <row r="191">
      <c r="A191" s="18" t="n">
        <v>188</v>
      </c>
      <c r="B191" s="36" t="inlineStr">
        <is>
          <t>LOB</t>
        </is>
      </c>
      <c r="C191" s="18" t="inlineStr">
        <is>
          <t>Live Oak Bancshares, Inc.</t>
        </is>
      </c>
      <c r="D191" s="18" t="inlineStr">
        <is>
          <t>A</t>
        </is>
      </c>
      <c r="E191" s="18" t="inlineStr">
        <is>
          <t>https://www.tradingview.com/chart/?symbol=nyse:lob</t>
        </is>
      </c>
    </row>
    <row r="192">
      <c r="A192" s="18" t="n">
        <v>189</v>
      </c>
      <c r="B192" s="36" t="inlineStr">
        <is>
          <t>WKC</t>
        </is>
      </c>
      <c r="C192" s="18" t="inlineStr">
        <is>
          <t>World Kinect Corporation</t>
        </is>
      </c>
      <c r="D192" s="18" t="inlineStr">
        <is>
          <t>A</t>
        </is>
      </c>
      <c r="E192" s="18" t="inlineStr">
        <is>
          <t>https://www.tradingview.com/chart/?symbol=nyse:wkc</t>
        </is>
      </c>
    </row>
    <row r="193">
      <c r="A193" s="18" t="n">
        <v>190</v>
      </c>
      <c r="B193" s="36" t="inlineStr">
        <is>
          <t>CBL</t>
        </is>
      </c>
      <c r="C193" s="18" t="inlineStr">
        <is>
          <t>CBL &amp; Associates Properties, Inc.</t>
        </is>
      </c>
      <c r="D193" s="18" t="inlineStr">
        <is>
          <t>A</t>
        </is>
      </c>
      <c r="E193" s="18" t="inlineStr">
        <is>
          <t>https://www.tradingview.com/chart/?symbol=nyse:cbl</t>
        </is>
      </c>
    </row>
    <row r="194">
      <c r="A194" s="18" t="n">
        <v>191</v>
      </c>
      <c r="B194" s="36" t="inlineStr">
        <is>
          <t>AMAL</t>
        </is>
      </c>
      <c r="C194" s="18" t="inlineStr">
        <is>
          <t>Amalgamated Financial Corp.</t>
        </is>
      </c>
      <c r="D194" s="18" t="inlineStr">
        <is>
          <t>A</t>
        </is>
      </c>
      <c r="E194" s="18" t="inlineStr">
        <is>
          <t>https://www.tradingview.com/chart/?symbol=nasdaq:amal</t>
        </is>
      </c>
    </row>
    <row r="195">
      <c r="A195" s="18" t="n">
        <v>192</v>
      </c>
      <c r="B195" s="36" t="inlineStr">
        <is>
          <t>REX</t>
        </is>
      </c>
      <c r="C195" s="18" t="inlineStr">
        <is>
          <t>REX American Resources Corporation</t>
        </is>
      </c>
      <c r="D195" s="18" t="inlineStr">
        <is>
          <t>A</t>
        </is>
      </c>
      <c r="E195" s="18" t="inlineStr">
        <is>
          <t>https://www.tradingview.com/chart/?symbol=nyse:rex</t>
        </is>
      </c>
    </row>
    <row r="196">
      <c r="A196" s="18" t="n">
        <v>193</v>
      </c>
      <c r="B196" s="36" t="inlineStr">
        <is>
          <t>SENEA</t>
        </is>
      </c>
      <c r="C196" s="18" t="inlineStr">
        <is>
          <t>Seneca Foods Corporation</t>
        </is>
      </c>
      <c r="D196" s="18" t="inlineStr">
        <is>
          <t>A</t>
        </is>
      </c>
      <c r="E196" s="18" t="inlineStr">
        <is>
          <t>https://www.tradingview.com/chart/?symbol=nasdaq:senea</t>
        </is>
      </c>
    </row>
    <row r="197">
      <c r="A197" s="18" t="n">
        <v>194</v>
      </c>
      <c r="B197" s="36" t="inlineStr">
        <is>
          <t>AMN</t>
        </is>
      </c>
      <c r="C197" s="18" t="inlineStr">
        <is>
          <t>AMN Healthcare Services, Inc.</t>
        </is>
      </c>
      <c r="D197" s="18" t="inlineStr">
        <is>
          <t>A</t>
        </is>
      </c>
      <c r="E197" s="18" t="inlineStr">
        <is>
          <t>https://www.tradingview.com/chart/?symbol=nyse:amn</t>
        </is>
      </c>
    </row>
    <row r="198">
      <c r="A198" s="18" t="n">
        <v>195</v>
      </c>
      <c r="B198" s="36" t="inlineStr">
        <is>
          <t>GNK</t>
        </is>
      </c>
      <c r="C198" s="18" t="inlineStr">
        <is>
          <t>Genco Shipping &amp; Trading Limited</t>
        </is>
      </c>
      <c r="D198" s="18" t="inlineStr">
        <is>
          <t>A</t>
        </is>
      </c>
      <c r="E198" s="18" t="inlineStr">
        <is>
          <t>https://www.tradingview.com/chart/?symbol=nyse:gnk</t>
        </is>
      </c>
    </row>
    <row r="199">
      <c r="A199" s="18" t="n">
        <v>196</v>
      </c>
      <c r="B199" s="36" t="inlineStr">
        <is>
          <t>TRST</t>
        </is>
      </c>
      <c r="C199" s="18" t="inlineStr">
        <is>
          <t>TrustCo Bank Corp NY</t>
        </is>
      </c>
      <c r="D199" s="18" t="inlineStr">
        <is>
          <t>A</t>
        </is>
      </c>
      <c r="E199" s="18" t="inlineStr">
        <is>
          <t>https://www.tradingview.com/chart/?symbol=nasdaq:trst</t>
        </is>
      </c>
    </row>
    <row r="200">
      <c r="A200" s="18" t="n">
        <v>197</v>
      </c>
      <c r="B200" s="36" t="inlineStr">
        <is>
          <t>KFRC</t>
        </is>
      </c>
      <c r="C200" s="18" t="inlineStr">
        <is>
          <t>Kforce Inc.</t>
        </is>
      </c>
      <c r="D200" s="18" t="inlineStr">
        <is>
          <t>A</t>
        </is>
      </c>
      <c r="E200" s="18" t="inlineStr">
        <is>
          <t>https://www.tradingview.com/chart/?symbol=nyse:kfrc</t>
        </is>
      </c>
    </row>
    <row r="201">
      <c r="A201" s="18" t="n">
        <v>198</v>
      </c>
      <c r="B201" s="36" t="inlineStr">
        <is>
          <t>CCBG</t>
        </is>
      </c>
      <c r="C201" s="18" t="inlineStr">
        <is>
          <t>Capital City Bank Group, Inc.</t>
        </is>
      </c>
      <c r="D201" s="18" t="inlineStr">
        <is>
          <t>A</t>
        </is>
      </c>
      <c r="E201" s="18" t="inlineStr">
        <is>
          <t>https://www.tradingview.com/chart/?symbol=nasdaq:ccbg</t>
        </is>
      </c>
    </row>
    <row r="202">
      <c r="A202" s="18" t="n">
        <v>199</v>
      </c>
      <c r="B202" s="36" t="inlineStr">
        <is>
          <t>HSHP</t>
        </is>
      </c>
      <c r="C202" s="18" t="inlineStr">
        <is>
          <t>Himalaya Shipping Ltd.</t>
        </is>
      </c>
      <c r="D202" s="18" t="inlineStr">
        <is>
          <t>A</t>
        </is>
      </c>
      <c r="E202" s="18" t="inlineStr">
        <is>
          <t>https://www.tradingview.com/chart/?symbol=nyse:hshp</t>
        </is>
      </c>
    </row>
    <row r="203">
      <c r="A203" s="18" t="n">
        <v>200</v>
      </c>
      <c r="B203" s="36" t="inlineStr">
        <is>
          <t>PGC</t>
        </is>
      </c>
      <c r="C203" s="18" t="inlineStr">
        <is>
          <t>Peapack-Gladstone Financial Corporation</t>
        </is>
      </c>
      <c r="D203" s="18" t="inlineStr">
        <is>
          <t>A</t>
        </is>
      </c>
      <c r="E203" s="18" t="inlineStr">
        <is>
          <t>https://www.tradingview.com/chart/?symbol=nasdaq:pgc</t>
        </is>
      </c>
    </row>
    <row r="204">
      <c r="A204" s="18" t="n">
        <v>201</v>
      </c>
      <c r="B204" s="36" t="inlineStr">
        <is>
          <t>MAX</t>
        </is>
      </c>
      <c r="C204" s="18" t="inlineStr">
        <is>
          <t>MediaAlpha, Inc.</t>
        </is>
      </c>
      <c r="D204" s="18" t="inlineStr">
        <is>
          <t>A</t>
        </is>
      </c>
      <c r="E204" s="18" t="inlineStr">
        <is>
          <t>https://www.tradingview.com/chart/?symbol=nyse:max</t>
        </is>
      </c>
    </row>
    <row r="205">
      <c r="A205" s="18" t="n">
        <v>202</v>
      </c>
      <c r="B205" s="36" t="inlineStr">
        <is>
          <t>RRBI</t>
        </is>
      </c>
      <c r="C205" s="18" t="inlineStr">
        <is>
          <t>Red River Bancshares, Inc.</t>
        </is>
      </c>
      <c r="D205" s="18" t="inlineStr">
        <is>
          <t>A</t>
        </is>
      </c>
      <c r="E205" s="18" t="inlineStr">
        <is>
          <t>https://www.tradingview.com/chart/?symbol=nasdaq:rrbi</t>
        </is>
      </c>
    </row>
    <row r="206">
      <c r="A206" s="18" t="n">
        <v>203</v>
      </c>
      <c r="B206" s="36" t="inlineStr">
        <is>
          <t>PKE</t>
        </is>
      </c>
      <c r="C206" s="18" t="inlineStr">
        <is>
          <t>Park Aerospace Corp.</t>
        </is>
      </c>
      <c r="D206" s="18" t="inlineStr">
        <is>
          <t>A</t>
        </is>
      </c>
      <c r="E206" s="18" t="inlineStr">
        <is>
          <t>https://www.tradingview.com/chart/?symbol=nyse:pke</t>
        </is>
      </c>
    </row>
    <row r="207">
      <c r="A207" s="18" t="n">
        <v>204</v>
      </c>
      <c r="B207" s="36" t="inlineStr">
        <is>
          <t>CLDT</t>
        </is>
      </c>
      <c r="C207" s="18" t="inlineStr">
        <is>
          <t>Chatham Lodging Trust</t>
        </is>
      </c>
      <c r="D207" s="18" t="inlineStr">
        <is>
          <t>A</t>
        </is>
      </c>
      <c r="E207" s="18" t="inlineStr">
        <is>
          <t>https://www.tradingview.com/chart/?symbol=nyse:cldt</t>
        </is>
      </c>
    </row>
    <row r="208">
      <c r="A208" s="18" t="n">
        <v>205</v>
      </c>
      <c r="B208" s="36" t="inlineStr">
        <is>
          <t>INTC</t>
        </is>
      </c>
      <c r="C208" s="18" t="inlineStr">
        <is>
          <t>Intel Corporation</t>
        </is>
      </c>
      <c r="D208" s="18" t="inlineStr">
        <is>
          <t>B</t>
        </is>
      </c>
      <c r="E208" s="18" t="inlineStr">
        <is>
          <t>https://www.tradingview.com/chart/?symbol=nasdaq:intc</t>
        </is>
      </c>
    </row>
    <row r="209">
      <c r="A209" s="18" t="n">
        <v>206</v>
      </c>
      <c r="B209" s="36" t="inlineStr">
        <is>
          <t>CRWD</t>
        </is>
      </c>
      <c r="C209" s="18" t="inlineStr">
        <is>
          <t>CrowdStrike Holdings, Inc.</t>
        </is>
      </c>
      <c r="D209" s="18" t="inlineStr">
        <is>
          <t>B</t>
        </is>
      </c>
      <c r="E209" s="18" t="inlineStr">
        <is>
          <t>https://www.tradingview.com/chart/?symbol=nasdaq:crwd</t>
        </is>
      </c>
    </row>
    <row r="210">
      <c r="A210" s="18" t="n">
        <v>207</v>
      </c>
      <c r="B210" s="36" t="inlineStr">
        <is>
          <t>GILD</t>
        </is>
      </c>
      <c r="C210" s="18" t="inlineStr">
        <is>
          <t>Gilead Sciences, Inc.</t>
        </is>
      </c>
      <c r="D210" s="18" t="inlineStr">
        <is>
          <t>B</t>
        </is>
      </c>
      <c r="E210" s="18" t="inlineStr">
        <is>
          <t>https://www.tradingview.com/chart/?symbol=nasdaq:gild</t>
        </is>
      </c>
    </row>
    <row r="211">
      <c r="A211" s="18" t="n">
        <v>208</v>
      </c>
      <c r="B211" s="36" t="inlineStr">
        <is>
          <t>BA</t>
        </is>
      </c>
      <c r="C211" s="18" t="inlineStr">
        <is>
          <t>The Boeing Company</t>
        </is>
      </c>
      <c r="D211" s="18" t="inlineStr">
        <is>
          <t>B</t>
        </is>
      </c>
      <c r="E211" s="18" t="inlineStr">
        <is>
          <t>https://www.tradingview.com/chart/?symbol=nyse:ba</t>
        </is>
      </c>
    </row>
    <row r="212">
      <c r="A212" s="18" t="n">
        <v>209</v>
      </c>
      <c r="B212" s="36" t="inlineStr">
        <is>
          <t>CEG</t>
        </is>
      </c>
      <c r="C212" s="18" t="inlineStr">
        <is>
          <t>Constellation Energy Corporation</t>
        </is>
      </c>
      <c r="D212" s="18" t="inlineStr">
        <is>
          <t>B</t>
        </is>
      </c>
      <c r="E212" s="18" t="inlineStr">
        <is>
          <t>https://www.tradingview.com/chart/?symbol=nasdaq:ceg</t>
        </is>
      </c>
    </row>
    <row r="213">
      <c r="A213" s="18" t="n">
        <v>210</v>
      </c>
      <c r="B213" s="36" t="inlineStr">
        <is>
          <t>LITE</t>
        </is>
      </c>
      <c r="C213" s="18" t="inlineStr">
        <is>
          <t>Lumentum Holdings Inc.</t>
        </is>
      </c>
      <c r="D213" s="18" t="inlineStr">
        <is>
          <t>B</t>
        </is>
      </c>
      <c r="E213" s="18" t="inlineStr">
        <is>
          <t>https://www.tradingview.com/chart/?symbol=nasdaq:lite</t>
        </is>
      </c>
    </row>
    <row r="214">
      <c r="A214" s="18" t="n">
        <v>211</v>
      </c>
      <c r="B214" s="36" t="inlineStr">
        <is>
          <t>DDOG</t>
        </is>
      </c>
      <c r="C214" s="18" t="inlineStr">
        <is>
          <t>Datadog, Inc.</t>
        </is>
      </c>
      <c r="D214" s="18" t="inlineStr">
        <is>
          <t>B</t>
        </is>
      </c>
      <c r="E214" s="18" t="inlineStr">
        <is>
          <t>https://www.tradingview.com/chart/?symbol=nasdaq:ddog</t>
        </is>
      </c>
    </row>
    <row r="215">
      <c r="A215" s="18" t="n">
        <v>212</v>
      </c>
      <c r="B215" s="36" t="inlineStr">
        <is>
          <t>AXON</t>
        </is>
      </c>
      <c r="C215" s="18" t="inlineStr">
        <is>
          <t>Axon Enterprise, Inc.</t>
        </is>
      </c>
      <c r="D215" s="18" t="inlineStr">
        <is>
          <t>B</t>
        </is>
      </c>
      <c r="E215" s="18" t="inlineStr">
        <is>
          <t>https://www.tradingview.com/chart/?symbol=nasdaq:axon</t>
        </is>
      </c>
    </row>
    <row r="216">
      <c r="A216" s="18" t="n">
        <v>213</v>
      </c>
      <c r="B216" s="36" t="inlineStr">
        <is>
          <t>CNC</t>
        </is>
      </c>
      <c r="C216" s="18" t="inlineStr">
        <is>
          <t>Centene Corporation</t>
        </is>
      </c>
      <c r="D216" s="18" t="inlineStr">
        <is>
          <t>B</t>
        </is>
      </c>
      <c r="E216" s="18" t="inlineStr">
        <is>
          <t>https://www.tradingview.com/chart/?symbol=nyse:cnc</t>
        </is>
      </c>
    </row>
    <row r="217">
      <c r="A217" s="18" t="n">
        <v>214</v>
      </c>
      <c r="B217" s="36" t="inlineStr">
        <is>
          <t>MDB</t>
        </is>
      </c>
      <c r="C217" s="18" t="inlineStr">
        <is>
          <t>MongoDB, Inc.</t>
        </is>
      </c>
      <c r="D217" s="18" t="inlineStr">
        <is>
          <t>B</t>
        </is>
      </c>
      <c r="E217" s="18" t="inlineStr">
        <is>
          <t>https://www.tradingview.com/chart/?symbol=nasdaq:mdb</t>
        </is>
      </c>
    </row>
    <row r="218">
      <c r="A218" s="18" t="n">
        <v>215</v>
      </c>
      <c r="B218" s="36" t="inlineStr">
        <is>
          <t>IOT</t>
        </is>
      </c>
      <c r="C218" s="18" t="inlineStr">
        <is>
          <t>Samsara Inc.</t>
        </is>
      </c>
      <c r="D218" s="18" t="inlineStr">
        <is>
          <t>B</t>
        </is>
      </c>
      <c r="E218" s="18" t="inlineStr">
        <is>
          <t>https://www.tradingview.com/chart/?symbol=nyse:iot</t>
        </is>
      </c>
    </row>
    <row r="219">
      <c r="A219" s="18" t="n">
        <v>216</v>
      </c>
      <c r="B219" s="36" t="inlineStr">
        <is>
          <t>DD</t>
        </is>
      </c>
      <c r="C219" s="18" t="inlineStr">
        <is>
          <t>DuPont de Nemours, Inc.</t>
        </is>
      </c>
      <c r="D219" s="18" t="inlineStr">
        <is>
          <t>B</t>
        </is>
      </c>
      <c r="E219" s="18" t="inlineStr">
        <is>
          <t>https://www.tradingview.com/chart/?symbol=nyse:dd</t>
        </is>
      </c>
    </row>
    <row r="220">
      <c r="A220" s="18" t="n">
        <v>217</v>
      </c>
      <c r="B220" s="36" t="inlineStr">
        <is>
          <t>TLN</t>
        </is>
      </c>
      <c r="C220" s="18" t="inlineStr">
        <is>
          <t>Talen Energy Corporation</t>
        </is>
      </c>
      <c r="D220" s="18" t="inlineStr">
        <is>
          <t>B</t>
        </is>
      </c>
      <c r="E220" s="18" t="inlineStr">
        <is>
          <t>https://www.tradingview.com/chart/?symbol=nasdaq:tln</t>
        </is>
      </c>
    </row>
    <row r="221">
      <c r="A221" s="18" t="n">
        <v>218</v>
      </c>
      <c r="B221" s="36" t="inlineStr">
        <is>
          <t>UHAL</t>
        </is>
      </c>
      <c r="C221" s="18" t="inlineStr">
        <is>
          <t>U-Haul Holding Company</t>
        </is>
      </c>
      <c r="D221" s="18" t="inlineStr">
        <is>
          <t>B</t>
        </is>
      </c>
      <c r="E221" s="18" t="inlineStr">
        <is>
          <t>https://www.tradingview.com/chart/?symbol=nyse:uhal</t>
        </is>
      </c>
    </row>
    <row r="222">
      <c r="A222" s="18" t="n">
        <v>219</v>
      </c>
      <c r="B222" s="36" t="inlineStr">
        <is>
          <t>CORT</t>
        </is>
      </c>
      <c r="C222" s="18" t="inlineStr">
        <is>
          <t>Corcept Therapeutics Incorporated</t>
        </is>
      </c>
      <c r="D222" s="18" t="inlineStr">
        <is>
          <t>B</t>
        </is>
      </c>
      <c r="E222" s="18" t="inlineStr">
        <is>
          <t>https://www.tradingview.com/chart/?symbol=nasdaq:cort</t>
        </is>
      </c>
    </row>
    <row r="223">
      <c r="A223" s="18" t="n">
        <v>220</v>
      </c>
      <c r="B223" s="36" t="inlineStr">
        <is>
          <t>TEM</t>
        </is>
      </c>
      <c r="C223" s="18" t="inlineStr">
        <is>
          <t>Tempus AI, Inc.</t>
        </is>
      </c>
      <c r="D223" s="18" t="inlineStr">
        <is>
          <t>B</t>
        </is>
      </c>
      <c r="E223" s="18" t="inlineStr">
        <is>
          <t>https://www.tradingview.com/chart/?symbol=nasdaq:tem</t>
        </is>
      </c>
    </row>
    <row r="224">
      <c r="A224" s="18" t="n">
        <v>221</v>
      </c>
      <c r="B224" s="36" t="inlineStr">
        <is>
          <t>VSAT</t>
        </is>
      </c>
      <c r="C224" s="18" t="inlineStr">
        <is>
          <t>Viasat, Inc.</t>
        </is>
      </c>
      <c r="D224" s="18" t="inlineStr">
        <is>
          <t>B</t>
        </is>
      </c>
      <c r="E224" s="18" t="inlineStr">
        <is>
          <t>https://www.tradingview.com/chart/?symbol=nasdaq:vsat</t>
        </is>
      </c>
    </row>
    <row r="225">
      <c r="A225" s="18" t="n">
        <v>222</v>
      </c>
      <c r="B225" s="36" t="inlineStr">
        <is>
          <t>MSGS</t>
        </is>
      </c>
      <c r="C225" s="18" t="inlineStr">
        <is>
          <t>Madison Square Garden Sports Corp.</t>
        </is>
      </c>
      <c r="D225" s="18" t="inlineStr">
        <is>
          <t>B</t>
        </is>
      </c>
      <c r="E225" s="18" t="inlineStr">
        <is>
          <t>https://www.tradingview.com/chart/?symbol=nyse:msgs</t>
        </is>
      </c>
    </row>
    <row r="226">
      <c r="A226" s="18" t="n">
        <v>223</v>
      </c>
      <c r="B226" s="36" t="inlineStr">
        <is>
          <t>KMX</t>
        </is>
      </c>
      <c r="C226" s="18" t="inlineStr">
        <is>
          <t>CarMax, Inc.</t>
        </is>
      </c>
      <c r="D226" s="18" t="inlineStr">
        <is>
          <t>B</t>
        </is>
      </c>
      <c r="E226" s="18" t="inlineStr">
        <is>
          <t>https://www.tradingview.com/chart/?symbol=nyse:kmx</t>
        </is>
      </c>
    </row>
    <row r="227">
      <c r="A227" s="18" t="n">
        <v>224</v>
      </c>
      <c r="B227" s="36" t="inlineStr">
        <is>
          <t>BRKR</t>
        </is>
      </c>
      <c r="C227" s="18" t="inlineStr">
        <is>
          <t>Bruker Corporation</t>
        </is>
      </c>
      <c r="D227" s="18" t="inlineStr">
        <is>
          <t>B</t>
        </is>
      </c>
      <c r="E227" s="18" t="inlineStr">
        <is>
          <t>https://www.tradingview.com/chart/?symbol=nasdaq:brkr</t>
        </is>
      </c>
    </row>
    <row r="228">
      <c r="A228" s="18" t="n">
        <v>225</v>
      </c>
      <c r="B228" s="36" t="inlineStr">
        <is>
          <t>PBF</t>
        </is>
      </c>
      <c r="C228" s="18" t="inlineStr">
        <is>
          <t>PBF Energy Inc.</t>
        </is>
      </c>
      <c r="D228" s="18" t="inlineStr">
        <is>
          <t>B</t>
        </is>
      </c>
      <c r="E228" s="18" t="inlineStr">
        <is>
          <t>https://www.tradingview.com/chart/?symbol=nyse:pbf</t>
        </is>
      </c>
    </row>
    <row r="229">
      <c r="A229" s="18" t="n">
        <v>226</v>
      </c>
      <c r="B229" s="36" t="inlineStr">
        <is>
          <t>FLR</t>
        </is>
      </c>
      <c r="C229" s="18" t="inlineStr">
        <is>
          <t>Fluor Corporation</t>
        </is>
      </c>
      <c r="D229" s="18" t="inlineStr">
        <is>
          <t>B</t>
        </is>
      </c>
      <c r="E229" s="18" t="inlineStr">
        <is>
          <t>https://www.tradingview.com/chart/?symbol=nyse:flr</t>
        </is>
      </c>
    </row>
    <row r="230">
      <c r="A230" s="18" t="n">
        <v>227</v>
      </c>
      <c r="B230" s="36" t="inlineStr">
        <is>
          <t>AXTI</t>
        </is>
      </c>
      <c r="C230" s="18" t="inlineStr">
        <is>
          <t>AXT, Inc.</t>
        </is>
      </c>
      <c r="D230" s="18" t="inlineStr">
        <is>
          <t>B</t>
        </is>
      </c>
      <c r="E230" s="18" t="inlineStr">
        <is>
          <t>https://www.tradingview.com/chart/?symbol=nasdaq:axti</t>
        </is>
      </c>
    </row>
    <row r="231">
      <c r="A231" s="18" t="n">
        <v>228</v>
      </c>
      <c r="B231" s="36" t="inlineStr">
        <is>
          <t>MNDY</t>
        </is>
      </c>
      <c r="C231" s="18" t="inlineStr">
        <is>
          <t>monday.com Ltd.</t>
        </is>
      </c>
      <c r="D231" s="18" t="inlineStr">
        <is>
          <t>B</t>
        </is>
      </c>
      <c r="E231" s="18" t="inlineStr">
        <is>
          <t>https://www.tradingview.com/chart/?symbol=nasdaq:mndy</t>
        </is>
      </c>
    </row>
    <row r="232">
      <c r="A232" s="18" t="n">
        <v>229</v>
      </c>
      <c r="B232" s="36" t="inlineStr">
        <is>
          <t>NEO</t>
        </is>
      </c>
      <c r="C232" s="18" t="inlineStr">
        <is>
          <t>NeoGenomics, Inc.</t>
        </is>
      </c>
      <c r="D232" s="18" t="inlineStr">
        <is>
          <t>B</t>
        </is>
      </c>
      <c r="E232" s="18" t="inlineStr">
        <is>
          <t>https://www.tradingview.com/chart/?symbol=nasdaq:neo</t>
        </is>
      </c>
    </row>
    <row r="233">
      <c r="A233" s="18" t="n">
        <v>230</v>
      </c>
      <c r="B233" s="36" t="inlineStr">
        <is>
          <t>OLN</t>
        </is>
      </c>
      <c r="C233" s="18" t="inlineStr">
        <is>
          <t>Olin Corporation</t>
        </is>
      </c>
      <c r="D233" s="18" t="inlineStr">
        <is>
          <t>B</t>
        </is>
      </c>
      <c r="E233" s="18" t="inlineStr">
        <is>
          <t>https://www.tradingview.com/chart/?symbol=nyse:oln</t>
        </is>
      </c>
    </row>
    <row r="234">
      <c r="A234" s="18" t="n">
        <v>231</v>
      </c>
      <c r="B234" s="36" t="inlineStr">
        <is>
          <t>BLFS</t>
        </is>
      </c>
      <c r="C234" s="18" t="inlineStr">
        <is>
          <t>BioLife Solutions, Inc.</t>
        </is>
      </c>
      <c r="D234" s="18" t="inlineStr">
        <is>
          <t>B</t>
        </is>
      </c>
      <c r="E234" s="18" t="inlineStr">
        <is>
          <t>https://www.tradingview.com/chart/?symbol=nasdaq:blfs</t>
        </is>
      </c>
    </row>
    <row r="235">
      <c r="A235" s="18" t="n">
        <v>232</v>
      </c>
      <c r="B235" s="36" t="inlineStr">
        <is>
          <t>BJRI</t>
        </is>
      </c>
      <c r="C235" s="18" t="inlineStr">
        <is>
          <t>BJ's Restaurants, Inc.</t>
        </is>
      </c>
      <c r="D235" s="18" t="inlineStr">
        <is>
          <t>B</t>
        </is>
      </c>
      <c r="E235" s="18" t="inlineStr">
        <is>
          <t>https://www.tradingview.com/chart/?symbol=nasdaq:bjri</t>
        </is>
      </c>
    </row>
    <row r="236">
      <c r="A236" s="18" t="n">
        <v>233</v>
      </c>
      <c r="B236" s="36" t="inlineStr">
        <is>
          <t>ALRS</t>
        </is>
      </c>
      <c r="C236" s="18" t="inlineStr">
        <is>
          <t>Alerus Financial Corporation</t>
        </is>
      </c>
      <c r="D236" s="18" t="inlineStr">
        <is>
          <t>B</t>
        </is>
      </c>
      <c r="E236" s="18" t="inlineStr">
        <is>
          <t>https://www.tradingview.com/chart/?symbol=nasdaq:alrs</t>
        </is>
      </c>
    </row>
    <row r="237">
      <c r="A237" s="18" t="n">
        <v>234</v>
      </c>
      <c r="B237" s="36" t="inlineStr">
        <is>
          <t>SNOW</t>
        </is>
      </c>
      <c r="C237" s="18" t="inlineStr">
        <is>
          <t>Snowflake Inc.</t>
        </is>
      </c>
      <c r="D237" s="18" t="inlineStr">
        <is>
          <t>C</t>
        </is>
      </c>
      <c r="E237" s="18" t="inlineStr">
        <is>
          <t>https://www.tradingview.com/chart/?symbol=nyse:snow</t>
        </is>
      </c>
    </row>
    <row r="238">
      <c r="A238" s="18" t="n">
        <v>235</v>
      </c>
      <c r="B238" s="36" t="inlineStr">
        <is>
          <t>ZS</t>
        </is>
      </c>
      <c r="C238" s="18" t="inlineStr">
        <is>
          <t>Zscaler, Inc.</t>
        </is>
      </c>
      <c r="D238" s="18" t="inlineStr">
        <is>
          <t>C</t>
        </is>
      </c>
      <c r="E238" s="18" t="inlineStr">
        <is>
          <t>https://www.tradingview.com/chart/?symbol=nasdaq:zs</t>
        </is>
      </c>
    </row>
    <row r="239">
      <c r="A239" s="18" t="n">
        <v>236</v>
      </c>
      <c r="B239" s="36" t="inlineStr">
        <is>
          <t>LUMN</t>
        </is>
      </c>
      <c r="C239" s="18" t="inlineStr">
        <is>
          <t>Lumen Technologies, Inc.</t>
        </is>
      </c>
      <c r="D239" s="18" t="inlineStr">
        <is>
          <t>C</t>
        </is>
      </c>
      <c r="E239" s="18" t="inlineStr">
        <is>
          <t>https://www.tradingview.com/chart/?symbol=nyse:lumn</t>
        </is>
      </c>
    </row>
    <row r="240">
      <c r="A240" s="18" t="n">
        <v>237</v>
      </c>
      <c r="B240" s="36" t="inlineStr">
        <is>
          <t>SMR</t>
        </is>
      </c>
      <c r="C240" s="18" t="inlineStr">
        <is>
          <t>NuScale Power Corporation</t>
        </is>
      </c>
      <c r="D240" s="18" t="inlineStr">
        <is>
          <t>C</t>
        </is>
      </c>
      <c r="E240" s="18" t="inlineStr">
        <is>
          <t>https://www.tradingview.com/chart/?symbol=nyse:smr</t>
        </is>
      </c>
    </row>
    <row r="241">
      <c r="A241" s="18" t="n">
        <v>238</v>
      </c>
      <c r="B241" s="36" t="inlineStr">
        <is>
          <t>IOVA</t>
        </is>
      </c>
      <c r="C241" s="18" t="inlineStr">
        <is>
          <t>Iovance Biotherapeutics, Inc.</t>
        </is>
      </c>
      <c r="D241" s="18" t="inlineStr">
        <is>
          <t>C</t>
        </is>
      </c>
      <c r="E241" s="18" t="inlineStr">
        <is>
          <t>https://www.tradingview.com/chart/?symbol=nasdaq:iova</t>
        </is>
      </c>
    </row>
    <row r="242">
      <c r="A242" s="18" t="n">
        <v>239</v>
      </c>
      <c r="B242" s="36" t="inlineStr">
        <is>
          <t>RCUS</t>
        </is>
      </c>
      <c r="C242" s="18" t="inlineStr">
        <is>
          <t>Arcus Biosciences, Inc.</t>
        </is>
      </c>
      <c r="D242" s="18" t="inlineStr">
        <is>
          <t>C</t>
        </is>
      </c>
      <c r="E242" s="18" t="inlineStr">
        <is>
          <t>https://www.tradingview.com/chart/?symbol=nyse:rcus</t>
        </is>
      </c>
    </row>
    <row r="243">
      <c r="A243" s="18" t="n">
        <v>240</v>
      </c>
      <c r="B243" s="36" t="inlineStr">
        <is>
          <t>SOUN</t>
        </is>
      </c>
      <c r="C243" s="18" t="inlineStr">
        <is>
          <t>SoundHound AI, Inc.</t>
        </is>
      </c>
      <c r="D243" s="18" t="inlineStr">
        <is>
          <t>C</t>
        </is>
      </c>
      <c r="E243" s="18" t="inlineStr">
        <is>
          <t>https://www.tradingview.com/chart/?symbol=nasdaq:soun</t>
        </is>
      </c>
    </row>
    <row r="244">
      <c r="A244" s="18" t="n">
        <v>241</v>
      </c>
      <c r="B244" s="36" t="inlineStr">
        <is>
          <t>RDW</t>
        </is>
      </c>
      <c r="C244" s="18" t="inlineStr">
        <is>
          <t>Redwire Corporation</t>
        </is>
      </c>
      <c r="D244" s="18" t="inlineStr">
        <is>
          <t>C</t>
        </is>
      </c>
      <c r="E244" s="18" t="inlineStr">
        <is>
          <t>https://www.tradingview.com/chart/?symbol=nyse:rdw</t>
        </is>
      </c>
    </row>
    <row r="245">
      <c r="A245" s="18" t="n">
        <v>242</v>
      </c>
      <c r="B245" s="36" t="inlineStr">
        <is>
          <t>OUST</t>
        </is>
      </c>
      <c r="C245" s="18" t="inlineStr">
        <is>
          <t>Ouster, Inc.</t>
        </is>
      </c>
      <c r="D245" s="18" t="inlineStr">
        <is>
          <t>C</t>
        </is>
      </c>
      <c r="E245" s="18" t="inlineStr">
        <is>
          <t>https://www.tradingview.com/chart/?symbol=nyse:oust</t>
        </is>
      </c>
    </row>
    <row r="246">
      <c r="A246" s="18" t="n">
        <v>243</v>
      </c>
      <c r="B246" s="36" t="inlineStr">
        <is>
          <t>AI</t>
        </is>
      </c>
      <c r="C246" s="18" t="inlineStr">
        <is>
          <t>C3.ai, Inc.</t>
        </is>
      </c>
      <c r="D246" s="18" t="inlineStr">
        <is>
          <t>C</t>
        </is>
      </c>
      <c r="E246" s="18" t="inlineStr">
        <is>
          <t>https://www.tradingview.com/chart/?symbol=nyse:ai</t>
        </is>
      </c>
    </row>
    <row r="247">
      <c r="A247" s="18" t="n">
        <v>244</v>
      </c>
      <c r="B247" s="36" t="inlineStr">
        <is>
          <t>ANGO</t>
        </is>
      </c>
      <c r="C247" s="18" t="inlineStr">
        <is>
          <t>AngioDynamics, Inc.</t>
        </is>
      </c>
      <c r="D247" s="18" t="inlineStr">
        <is>
          <t>C</t>
        </is>
      </c>
      <c r="E247" s="18" t="inlineStr">
        <is>
          <t>https://www.tradingview.com/chart/?symbol=nasdaq:ango</t>
        </is>
      </c>
    </row>
    <row r="248">
      <c r="A248" s="18" t="n">
        <v>245</v>
      </c>
      <c r="B248" s="36" t="inlineStr">
        <is>
          <t>MRK</t>
        </is>
      </c>
      <c r="C248" s="18" t="inlineStr">
        <is>
          <t>Merck &amp; Co., Inc.</t>
        </is>
      </c>
      <c r="D248" s="18" t="inlineStr">
        <is>
          <t>D</t>
        </is>
      </c>
      <c r="E248" s="18" t="inlineStr">
        <is>
          <t>https://www.tradingview.com/chart/?symbol=nyse:mrk</t>
        </is>
      </c>
    </row>
    <row r="249">
      <c r="A249" s="18" t="n">
        <v>246</v>
      </c>
      <c r="B249" s="36" t="inlineStr">
        <is>
          <t>PANW</t>
        </is>
      </c>
      <c r="C249" s="18" t="inlineStr">
        <is>
          <t>Palo Alto Networks, Inc.</t>
        </is>
      </c>
      <c r="D249" s="18" t="inlineStr">
        <is>
          <t>D</t>
        </is>
      </c>
      <c r="E249" s="18" t="inlineStr">
        <is>
          <t>https://www.tradingview.com/chart/?symbol=nasdaq:panw</t>
        </is>
      </c>
    </row>
    <row r="250">
      <c r="A250" s="18" t="n">
        <v>247</v>
      </c>
      <c r="B250" s="36" t="inlineStr">
        <is>
          <t>NET</t>
        </is>
      </c>
      <c r="C250" s="18" t="inlineStr">
        <is>
          <t>Cloudflare, Inc.</t>
        </is>
      </c>
      <c r="D250" s="18" t="inlineStr">
        <is>
          <t>D</t>
        </is>
      </c>
      <c r="E250" s="18" t="inlineStr">
        <is>
          <t>https://www.tradingview.com/chart/?symbol=nyse:net</t>
        </is>
      </c>
    </row>
    <row r="251">
      <c r="A251" s="18" t="n">
        <v>248</v>
      </c>
      <c r="B251" s="36" t="inlineStr">
        <is>
          <t>NBIS</t>
        </is>
      </c>
      <c r="C251" s="18" t="inlineStr">
        <is>
          <t>Nebius Group N.V.</t>
        </is>
      </c>
      <c r="D251" s="18" t="inlineStr">
        <is>
          <t>D</t>
        </is>
      </c>
      <c r="E251" s="18" t="inlineStr">
        <is>
          <t>https://www.tradingview.com/chart/?symbol=nasdaq:nbis</t>
        </is>
      </c>
    </row>
    <row r="252">
      <c r="A252" s="18" t="n">
        <v>249</v>
      </c>
      <c r="B252" s="36" t="inlineStr">
        <is>
          <t>MRNA</t>
        </is>
      </c>
      <c r="C252" s="18" t="inlineStr">
        <is>
          <t>Moderna, Inc.</t>
        </is>
      </c>
      <c r="D252" s="18" t="inlineStr">
        <is>
          <t>D</t>
        </is>
      </c>
      <c r="E252" s="18" t="inlineStr">
        <is>
          <t>https://www.tradingview.com/chart/?symbol=nasdaq:mrna</t>
        </is>
      </c>
    </row>
    <row r="253">
      <c r="A253" s="18" t="n">
        <v>250</v>
      </c>
      <c r="B253" s="36" t="inlineStr">
        <is>
          <t>CBRS</t>
        </is>
      </c>
      <c r="C253" s="18" t="inlineStr">
        <is>
          <t>Cerebras Systems Inc.</t>
        </is>
      </c>
      <c r="D253" s="18" t="inlineStr">
        <is>
          <t>D</t>
        </is>
      </c>
      <c r="E253" s="18" t="inlineStr">
        <is>
          <t>https://www.tradingview.com/chart/?symbol=nasdaq:cbrs</t>
        </is>
      </c>
    </row>
    <row r="254">
      <c r="A254" s="18" t="n">
        <v>251</v>
      </c>
      <c r="B254" s="36" t="inlineStr">
        <is>
          <t>CRWV</t>
        </is>
      </c>
      <c r="C254" s="18" t="inlineStr">
        <is>
          <t>CoreWeave, Inc.</t>
        </is>
      </c>
      <c r="D254" s="18" t="inlineStr">
        <is>
          <t>D</t>
        </is>
      </c>
      <c r="E254" s="18" t="inlineStr">
        <is>
          <t>https://www.tradingview.com/chart/?symbol=nasdaq:crwv</t>
        </is>
      </c>
    </row>
    <row r="255">
      <c r="A255" s="18" t="n">
        <v>252</v>
      </c>
      <c r="B255" s="36" t="inlineStr">
        <is>
          <t>COIN</t>
        </is>
      </c>
      <c r="C255" s="18" t="inlineStr">
        <is>
          <t>Coinbase Global, Inc.</t>
        </is>
      </c>
      <c r="D255" s="18" t="inlineStr">
        <is>
          <t>D</t>
        </is>
      </c>
      <c r="E255" s="18" t="inlineStr">
        <is>
          <t>https://www.tradingview.com/chart/?symbol=nasdaq:coin</t>
        </is>
      </c>
    </row>
    <row r="256">
      <c r="A256" s="18" t="n">
        <v>253</v>
      </c>
      <c r="B256" s="36" t="inlineStr">
        <is>
          <t>RVMD</t>
        </is>
      </c>
      <c r="C256" s="18" t="inlineStr">
        <is>
          <t>Revolution Medicines, Inc.</t>
        </is>
      </c>
      <c r="D256" s="18" t="inlineStr">
        <is>
          <t>D</t>
        </is>
      </c>
      <c r="E256" s="18" t="inlineStr">
        <is>
          <t>https://www.tradingview.com/chart/?symbol=nasdaq:rvmd</t>
        </is>
      </c>
    </row>
    <row r="257">
      <c r="A257" s="18" t="n">
        <v>254</v>
      </c>
      <c r="B257" s="36" t="inlineStr">
        <is>
          <t>IREN</t>
        </is>
      </c>
      <c r="C257" s="18" t="inlineStr">
        <is>
          <t>IREN Limited</t>
        </is>
      </c>
      <c r="D257" s="18" t="inlineStr">
        <is>
          <t>D</t>
        </is>
      </c>
      <c r="E257" s="18" t="inlineStr">
        <is>
          <t>https://www.tradingview.com/chart/?symbol=nasdaq:iren</t>
        </is>
      </c>
    </row>
    <row r="258">
      <c r="A258" s="18" t="n">
        <v>255</v>
      </c>
      <c r="B258" s="36" t="inlineStr">
        <is>
          <t>ARWR</t>
        </is>
      </c>
      <c r="C258" s="18" t="inlineStr">
        <is>
          <t>Arrowhead Pharmaceuticals, Inc.</t>
        </is>
      </c>
      <c r="D258" s="18" t="inlineStr">
        <is>
          <t>D</t>
        </is>
      </c>
      <c r="E258" s="18" t="inlineStr">
        <is>
          <t>https://www.tradingview.com/chart/?symbol=nasdaq:arwr</t>
        </is>
      </c>
    </row>
    <row r="259">
      <c r="A259" s="18" t="n">
        <v>256</v>
      </c>
      <c r="B259" s="36" t="inlineStr">
        <is>
          <t>GSAT</t>
        </is>
      </c>
      <c r="C259" s="18" t="inlineStr">
        <is>
          <t>Globalstar, Inc.</t>
        </is>
      </c>
      <c r="D259" s="18" t="inlineStr">
        <is>
          <t>D</t>
        </is>
      </c>
      <c r="E259" s="18" t="inlineStr">
        <is>
          <t>https://www.tradingview.com/chart/?symbol=nasdaq:gsat</t>
        </is>
      </c>
    </row>
    <row r="260">
      <c r="A260" s="18" t="n">
        <v>257</v>
      </c>
      <c r="B260" s="36" t="inlineStr">
        <is>
          <t>AAOI</t>
        </is>
      </c>
      <c r="C260" s="18" t="inlineStr">
        <is>
          <t>Applied Optoelectronics, Inc.</t>
        </is>
      </c>
      <c r="D260" s="18" t="inlineStr">
        <is>
          <t>D</t>
        </is>
      </c>
      <c r="E260" s="18" t="inlineStr">
        <is>
          <t>https://www.tradingview.com/chart/?symbol=nasdaq:aaoi</t>
        </is>
      </c>
    </row>
    <row r="261">
      <c r="A261" s="18" t="n">
        <v>258</v>
      </c>
      <c r="B261" s="36" t="inlineStr">
        <is>
          <t>SYRE</t>
        </is>
      </c>
      <c r="C261" s="18" t="inlineStr">
        <is>
          <t>Spyre Therapeutics, Inc.</t>
        </is>
      </c>
      <c r="D261" s="18" t="inlineStr">
        <is>
          <t>D</t>
        </is>
      </c>
      <c r="E261" s="18" t="inlineStr">
        <is>
          <t>https://www.tradingview.com/chart/?symbol=nasdaq:syre</t>
        </is>
      </c>
    </row>
    <row r="262">
      <c r="A262" s="18" t="n">
        <v>259</v>
      </c>
      <c r="B262" s="36" t="inlineStr">
        <is>
          <t>APLD</t>
        </is>
      </c>
      <c r="C262" s="18" t="inlineStr">
        <is>
          <t>Applied Digital Corporation</t>
        </is>
      </c>
      <c r="D262" s="18" t="inlineStr">
        <is>
          <t>D</t>
        </is>
      </c>
      <c r="E262" s="18" t="inlineStr">
        <is>
          <t>https://www.tradingview.com/chart/?symbol=nasdaq:apld</t>
        </is>
      </c>
    </row>
    <row r="263">
      <c r="A263" s="18" t="n">
        <v>260</v>
      </c>
      <c r="B263" s="36" t="inlineStr">
        <is>
          <t>OKLO</t>
        </is>
      </c>
      <c r="C263" s="18" t="inlineStr">
        <is>
          <t>Oklo Inc.</t>
        </is>
      </c>
      <c r="D263" s="18" t="inlineStr">
        <is>
          <t>D</t>
        </is>
      </c>
      <c r="E263" s="18" t="inlineStr">
        <is>
          <t>https://www.tradingview.com/chart/?symbol=nyse:oklo</t>
        </is>
      </c>
    </row>
    <row r="264">
      <c r="A264" s="18" t="n">
        <v>261</v>
      </c>
      <c r="B264" s="36" t="inlineStr">
        <is>
          <t>DNTH</t>
        </is>
      </c>
      <c r="C264" s="18" t="inlineStr">
        <is>
          <t>Dianthus Therapeutics, Inc.</t>
        </is>
      </c>
      <c r="D264" s="18" t="inlineStr">
        <is>
          <t>D</t>
        </is>
      </c>
      <c r="E264" s="18" t="inlineStr">
        <is>
          <t>https://www.tradingview.com/chart/?symbol=nasdaq:dnth</t>
        </is>
      </c>
    </row>
    <row r="265">
      <c r="A265" s="18" t="n">
        <v>262</v>
      </c>
      <c r="B265" s="36" t="inlineStr">
        <is>
          <t>ELVN</t>
        </is>
      </c>
      <c r="C265" s="18" t="inlineStr">
        <is>
          <t>Enliven Therapeutics, Inc.</t>
        </is>
      </c>
      <c r="D265" s="18" t="inlineStr">
        <is>
          <t>D</t>
        </is>
      </c>
      <c r="E265" s="18" t="inlineStr">
        <is>
          <t>https://www.tradingview.com/chart/?symbol=nasdaq:elvn</t>
        </is>
      </c>
    </row>
    <row r="266">
      <c r="A266" s="18" t="n">
        <v>263</v>
      </c>
      <c r="B266" s="36" t="inlineStr">
        <is>
          <t>RLAY</t>
        </is>
      </c>
      <c r="C266" s="18" t="inlineStr">
        <is>
          <t>Relay Therapeutics, Inc.</t>
        </is>
      </c>
      <c r="D266" s="18" t="inlineStr">
        <is>
          <t>D</t>
        </is>
      </c>
      <c r="E266" s="18" t="inlineStr">
        <is>
          <t>https://www.tradingview.com/chart/?symbol=nasdaq:rlay</t>
        </is>
      </c>
    </row>
    <row r="267">
      <c r="A267" s="18" t="n">
        <v>264</v>
      </c>
      <c r="B267" s="36" t="inlineStr">
        <is>
          <t>ADPT</t>
        </is>
      </c>
      <c r="C267" s="18" t="inlineStr">
        <is>
          <t>Adaptive Biotechnologies Corporation</t>
        </is>
      </c>
      <c r="D267" s="18" t="inlineStr">
        <is>
          <t>D</t>
        </is>
      </c>
      <c r="E267" s="18" t="inlineStr">
        <is>
          <t>https://www.tradingview.com/chart/?symbol=nasdaq:adpt</t>
        </is>
      </c>
    </row>
    <row r="268">
      <c r="A268" s="18" t="n">
        <v>265</v>
      </c>
      <c r="B268" s="36" t="inlineStr">
        <is>
          <t>CLDX</t>
        </is>
      </c>
      <c r="C268" s="18" t="inlineStr">
        <is>
          <t>Celldex Therapeutics, Inc.</t>
        </is>
      </c>
      <c r="D268" s="18" t="inlineStr">
        <is>
          <t>D</t>
        </is>
      </c>
      <c r="E268" s="18" t="inlineStr">
        <is>
          <t>https://www.tradingview.com/chart/?symbol=nasdaq:cldx</t>
        </is>
      </c>
    </row>
    <row r="269">
      <c r="A269" s="18" t="n">
        <v>266</v>
      </c>
      <c r="B269" s="36" t="inlineStr">
        <is>
          <t>MBX</t>
        </is>
      </c>
      <c r="C269" s="18" t="inlineStr">
        <is>
          <t>MBX Biosciences, Inc.</t>
        </is>
      </c>
      <c r="D269" s="18" t="inlineStr">
        <is>
          <t>D</t>
        </is>
      </c>
      <c r="E269" s="18" t="inlineStr">
        <is>
          <t>https://www.tradingview.com/chart/?symbol=nasdaq:mbx</t>
        </is>
      </c>
    </row>
    <row r="270">
      <c r="A270" s="18" t="n">
        <v>267</v>
      </c>
      <c r="B270" s="36" t="inlineStr">
        <is>
          <t>AXGN</t>
        </is>
      </c>
      <c r="C270" s="18" t="inlineStr">
        <is>
          <t>Axogen, Inc.</t>
        </is>
      </c>
      <c r="D270" s="18" t="inlineStr">
        <is>
          <t>D</t>
        </is>
      </c>
      <c r="E270" s="18" t="inlineStr">
        <is>
          <t>https://www.tradingview.com/chart/?symbol=nasdaq:axgn</t>
        </is>
      </c>
    </row>
    <row r="271">
      <c r="A271" s="18" t="n">
        <v>268</v>
      </c>
      <c r="B271" s="36" t="inlineStr">
        <is>
          <t>TRVI</t>
        </is>
      </c>
      <c r="C271" s="18" t="inlineStr">
        <is>
          <t>Trevi Therapeutics, Inc.</t>
        </is>
      </c>
      <c r="D271" s="18" t="inlineStr">
        <is>
          <t>D</t>
        </is>
      </c>
      <c r="E271" s="18" t="inlineStr">
        <is>
          <t>https://www.tradingview.com/chart/?symbol=nasdaq:trvi</t>
        </is>
      </c>
    </row>
    <row r="272">
      <c r="A272" s="18" t="n">
        <v>269</v>
      </c>
      <c r="B272" s="36" t="inlineStr">
        <is>
          <t>PVLA</t>
        </is>
      </c>
      <c r="C272" s="18" t="inlineStr">
        <is>
          <t>Palvella Therapeutics, Inc.</t>
        </is>
      </c>
      <c r="D272" s="18" t="inlineStr">
        <is>
          <t>D</t>
        </is>
      </c>
      <c r="E272" s="18" t="inlineStr">
        <is>
          <t>https://www.tradingview.com/chart/?symbol=nasdaq:pvla</t>
        </is>
      </c>
    </row>
    <row r="273">
      <c r="A273" s="18" t="n">
        <v>270</v>
      </c>
      <c r="B273" s="36" t="inlineStr">
        <is>
          <t>RAPP</t>
        </is>
      </c>
      <c r="C273" s="18" t="inlineStr">
        <is>
          <t>Rapport Therapeutics, Inc.</t>
        </is>
      </c>
      <c r="D273" s="18" t="inlineStr">
        <is>
          <t>D</t>
        </is>
      </c>
      <c r="E273" s="18" t="inlineStr">
        <is>
          <t>https://www.tradingview.com/chart/?symbol=nasdaq:rapp</t>
        </is>
      </c>
    </row>
    <row r="274">
      <c r="A274" s="18" t="n">
        <v>271</v>
      </c>
      <c r="B274" s="36" t="inlineStr">
        <is>
          <t>BBAI</t>
        </is>
      </c>
      <c r="C274" s="18" t="inlineStr">
        <is>
          <t>BigBear.ai Holdings, Inc.</t>
        </is>
      </c>
      <c r="D274" s="18" t="inlineStr">
        <is>
          <t>D</t>
        </is>
      </c>
      <c r="E274" s="18" t="inlineStr">
        <is>
          <t>https://www.tradingview.com/chart/?symbol=nyse:bbai</t>
        </is>
      </c>
    </row>
    <row r="275">
      <c r="A275" s="18" t="n">
        <v>272</v>
      </c>
      <c r="B275" s="36" t="inlineStr">
        <is>
          <t>CYRX</t>
        </is>
      </c>
      <c r="C275" s="18" t="inlineStr">
        <is>
          <t>Cryoport, Inc.</t>
        </is>
      </c>
      <c r="D275" s="18" t="inlineStr">
        <is>
          <t>D</t>
        </is>
      </c>
      <c r="E275" s="18" t="inlineStr">
        <is>
          <t>https://www.tradingview.com/chart/?symbol=nasdaq:cyrx</t>
        </is>
      </c>
    </row>
    <row r="276">
      <c r="A276" s="18" t="n">
        <v>273</v>
      </c>
      <c r="B276" s="36" t="inlineStr">
        <is>
          <t>CBIO</t>
        </is>
      </c>
      <c r="C276" s="18" t="inlineStr">
        <is>
          <t>Crescent Biopharma, Inc.</t>
        </is>
      </c>
      <c r="D276" s="18" t="inlineStr">
        <is>
          <t>D</t>
        </is>
      </c>
      <c r="E276" s="18" t="inlineStr">
        <is>
          <t>https://www.tradingview.com/chart/?symbol=nasdaq:cbio</t>
        </is>
      </c>
    </row>
    <row r="277">
      <c r="A277" s="18" t="n">
        <v>274</v>
      </c>
      <c r="B277" s="36" t="inlineStr">
        <is>
          <t>HMY</t>
        </is>
      </c>
      <c r="C277" s="18" t="inlineStr">
        <is>
          <t>Harmony Gold Mining Company Limited</t>
        </is>
      </c>
      <c r="D277" s="18" t="inlineStr">
        <is>
          <t>—</t>
        </is>
      </c>
      <c r="E277" s="18" t="inlineStr">
        <is>
          <t>https://www.tradingview.com/chart/?symbol=nyse:hmy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2026-09-07T01:49:56Z</dcterms:created>
  <dcterms:modified xmlns:dcterms="http://purl.org/dc/terms/" xmlns:xsi="http://www.w3.org/2001/XMLSchema-instance" xsi:type="dcterms:W3CDTF">2026-09-07T01:49:57Z</dcterms:modified>
</cp:coreProperties>
</file>